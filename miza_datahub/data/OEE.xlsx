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01.KHỐI SẢN XUẤT MZNS\1.Ms Tuyết\1.Báo cáo D;Q hàng ngày\Năm 2026\Tháng 5\"/>
    </mc:Choice>
  </mc:AlternateContent>
  <xr:revisionPtr revIDLastSave="0" documentId="13_ncr:1_{E97A6DFA-9AE7-46D1-B701-EB3D4A074D00}" xr6:coauthVersionLast="47" xr6:coauthVersionMax="47" xr10:uidLastSave="{00000000-0000-0000-0000-000000000000}"/>
  <bookViews>
    <workbookView xWindow="-108" yWindow="-108" windowWidth="23256" windowHeight="13896" tabRatio="644" activeTab="1" xr2:uid="{00000000-000D-0000-FFFF-FFFF00000000}"/>
  </bookViews>
  <sheets>
    <sheet name="5.26" sheetId="29" r:id="rId1"/>
    <sheet name="Data NĂM" sheetId="30" r:id="rId2"/>
    <sheet name="BIỂU ĐỒ" sheetId="11" r:id="rId3"/>
    <sheet name="Sản lượng" sheetId="20" r:id="rId4"/>
    <sheet name="OEE" sheetId="31" r:id="rId5"/>
  </sheets>
  <externalReferences>
    <externalReference r:id="rId6"/>
    <externalReference r:id="rId7"/>
  </externalReferences>
  <definedNames>
    <definedName name="_xlnm._FilterDatabase" localSheetId="1" hidden="1">'Data NĂM'!$BW$11:$BW$14</definedName>
    <definedName name="_xlnm._FilterDatabase" localSheetId="3" hidden="1">'Sản lượng'!$A$1:$N$2</definedName>
    <definedName name="_h1" localSheetId="2" hidden="1">{"'TDTGT (theo Dphuong)'!$A$4:$F$75"}</definedName>
    <definedName name="_h1" hidden="1">{"'TDTGT (theo Dphuong)'!$A$4:$F$75"}</definedName>
    <definedName name="DinhLuong">'[1]    Chi tiết SL  '!$O$8:$O$8001</definedName>
    <definedName name="NgaySX">'[1]    Chi tiết SL  '!$C$8:$C$8001</definedName>
    <definedName name="_xlnm.Print_Area" localSheetId="0">'5.26'!$A$1:$AL$30</definedName>
    <definedName name="_xlnm.Print_Area" localSheetId="2">'BIỂU ĐỒ'!$Q$1:$BU$63</definedName>
    <definedName name="TongKho">'[1]    Chi tiết SL  '!$N$8:$N$8001</definedName>
    <definedName name="TrongLuong">'[1]    Chi tiết SL  '!$AP$8:$AP$8001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Z14" i="30" l="1"/>
  <c r="BZ12" i="30"/>
  <c r="BZ13" i="30"/>
  <c r="BZ11" i="30"/>
  <c r="BX14" i="30"/>
  <c r="BW14" i="30"/>
  <c r="BY12" i="30"/>
  <c r="BY13" i="30"/>
  <c r="BY11" i="30"/>
  <c r="B4" i="31" l="1"/>
  <c r="B2" i="31"/>
  <c r="AG3" i="31"/>
  <c r="BR10" i="11" l="1"/>
  <c r="BS10" i="11"/>
  <c r="BR11" i="11"/>
  <c r="BS11" i="11"/>
  <c r="BR12" i="11"/>
  <c r="BS12" i="11"/>
  <c r="BR14" i="11"/>
  <c r="BS14" i="11"/>
  <c r="BR15" i="11"/>
  <c r="BS15" i="11"/>
  <c r="BR17" i="11"/>
  <c r="BS17" i="11" s="1"/>
  <c r="BR18" i="11"/>
  <c r="BS18" i="11" s="1"/>
  <c r="BR19" i="11"/>
  <c r="BS19" i="11" s="1"/>
  <c r="BR20" i="11"/>
  <c r="BS20" i="11" s="1"/>
  <c r="BR21" i="11"/>
  <c r="BS21" i="11" s="1"/>
  <c r="BS22" i="11" s="1"/>
  <c r="AF3" i="31"/>
  <c r="AC5" i="31"/>
  <c r="BQ10" i="11"/>
  <c r="BQ11" i="11"/>
  <c r="BQ12" i="11"/>
  <c r="BQ14" i="11"/>
  <c r="BQ15" i="11" s="1"/>
  <c r="BQ18" i="11"/>
  <c r="BQ19" i="11"/>
  <c r="BQ20" i="11"/>
  <c r="BQ21" i="11"/>
  <c r="BR22" i="11" l="1"/>
  <c r="C2" i="20"/>
  <c r="BP10" i="11"/>
  <c r="BP18" i="11"/>
  <c r="BP19" i="11"/>
  <c r="BP20" i="11"/>
  <c r="BP21" i="11"/>
  <c r="BO10" i="11"/>
  <c r="BO11" i="11"/>
  <c r="BO12" i="11"/>
  <c r="BO14" i="11"/>
  <c r="BO15" i="11"/>
  <c r="BO18" i="11"/>
  <c r="BO19" i="11"/>
  <c r="BO20" i="11"/>
  <c r="BO21" i="11"/>
  <c r="BN10" i="11" l="1"/>
  <c r="BN11" i="11"/>
  <c r="BN12" i="11" s="1"/>
  <c r="BN14" i="11"/>
  <c r="BN15" i="11"/>
  <c r="BN18" i="11"/>
  <c r="BN19" i="11"/>
  <c r="BN20" i="11"/>
  <c r="BN21" i="11"/>
  <c r="BM10" i="11"/>
  <c r="BM18" i="11"/>
  <c r="BM19" i="11"/>
  <c r="BM20" i="11"/>
  <c r="BM21" i="11"/>
  <c r="BK10" i="11"/>
  <c r="BL10" i="11"/>
  <c r="BK18" i="11"/>
  <c r="BL18" i="11" s="1"/>
  <c r="BK19" i="11"/>
  <c r="BL19" i="11"/>
  <c r="BK20" i="11"/>
  <c r="BL20" i="11"/>
  <c r="BK21" i="11"/>
  <c r="BL21" i="11"/>
  <c r="BJ10" i="11" l="1"/>
  <c r="BJ11" i="11"/>
  <c r="BJ12" i="11"/>
  <c r="BJ14" i="11"/>
  <c r="BJ15" i="11" s="1"/>
  <c r="BJ18" i="11"/>
  <c r="BJ19" i="11"/>
  <c r="BJ20" i="11"/>
  <c r="BJ21" i="11"/>
  <c r="AB26" i="29"/>
  <c r="BI10" i="11" l="1"/>
  <c r="BI18" i="11"/>
  <c r="BI19" i="11"/>
  <c r="BI20" i="11"/>
  <c r="BI21" i="11"/>
  <c r="BH10" i="11" l="1"/>
  <c r="BH18" i="11"/>
  <c r="BH19" i="11"/>
  <c r="BH20" i="11"/>
  <c r="BH21" i="11"/>
  <c r="BG10" i="11"/>
  <c r="BG18" i="11"/>
  <c r="BG19" i="11"/>
  <c r="BG20" i="11"/>
  <c r="BG21" i="11"/>
  <c r="T5" i="31"/>
  <c r="BF10" i="11"/>
  <c r="BF18" i="11"/>
  <c r="BF19" i="11"/>
  <c r="BF20" i="11"/>
  <c r="BF21" i="11"/>
  <c r="R5" i="31"/>
  <c r="S5" i="31"/>
  <c r="G6" i="20"/>
  <c r="S3" i="31" l="1"/>
  <c r="BD10" i="11"/>
  <c r="BE10" i="11"/>
  <c r="BD18" i="11"/>
  <c r="BE18" i="11"/>
  <c r="BD19" i="11"/>
  <c r="BE19" i="11" s="1"/>
  <c r="BD20" i="11"/>
  <c r="BE20" i="11" s="1"/>
  <c r="BD21" i="11"/>
  <c r="BE21" i="11"/>
  <c r="BC10" i="11"/>
  <c r="BC18" i="11"/>
  <c r="BC19" i="11"/>
  <c r="BC20" i="11"/>
  <c r="BC21" i="11"/>
  <c r="BA10" i="11" l="1"/>
  <c r="BB10" i="11"/>
  <c r="BA11" i="11"/>
  <c r="BB11" i="11"/>
  <c r="BA12" i="11"/>
  <c r="BB12" i="11"/>
  <c r="BA14" i="11"/>
  <c r="BA15" i="11"/>
  <c r="BA18" i="11"/>
  <c r="BB18" i="11" s="1"/>
  <c r="BA19" i="11"/>
  <c r="BB19" i="11"/>
  <c r="BA20" i="11"/>
  <c r="BB20" i="11"/>
  <c r="BA21" i="11"/>
  <c r="BB21" i="11"/>
  <c r="BA25" i="11"/>
  <c r="BB25" i="11"/>
  <c r="N9" i="31"/>
  <c r="A11" i="31"/>
  <c r="N5" i="31"/>
  <c r="AZ10" i="11" l="1"/>
  <c r="AZ11" i="11"/>
  <c r="AZ12" i="11"/>
  <c r="AZ14" i="11"/>
  <c r="AZ15" i="11" s="1"/>
  <c r="AZ18" i="11"/>
  <c r="AZ19" i="11"/>
  <c r="AZ20" i="11"/>
  <c r="AZ21" i="11"/>
  <c r="G7" i="20"/>
  <c r="G5" i="20"/>
  <c r="AY10" i="11" l="1"/>
  <c r="AY18" i="11"/>
  <c r="AY20" i="11"/>
  <c r="L5" i="31" l="1"/>
  <c r="AW10" i="11"/>
  <c r="AX10" i="11"/>
  <c r="AW18" i="11"/>
  <c r="AX18" i="11"/>
  <c r="AW19" i="11"/>
  <c r="AX19" i="11" s="1"/>
  <c r="AW20" i="11"/>
  <c r="AX20" i="11"/>
  <c r="AW21" i="11"/>
  <c r="AX21" i="11"/>
  <c r="H2" i="20"/>
  <c r="AV10" i="11" l="1"/>
  <c r="AV18" i="11"/>
  <c r="AV19" i="11"/>
  <c r="AV20" i="11"/>
  <c r="AV21" i="11"/>
  <c r="AR25" i="11"/>
  <c r="AE29" i="11" l="1"/>
  <c r="AE30" i="11"/>
  <c r="AE31" i="11"/>
  <c r="AE33" i="11"/>
  <c r="AE34" i="11"/>
  <c r="AE35" i="11"/>
  <c r="AE37" i="11"/>
  <c r="AE38" i="11"/>
  <c r="AE39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25" i="11"/>
  <c r="AF25" i="11"/>
  <c r="AE26" i="11"/>
  <c r="AF26" i="11"/>
  <c r="AE27" i="11"/>
  <c r="AF27" i="11"/>
  <c r="AE32" i="11" l="1"/>
  <c r="AE40" i="11"/>
  <c r="AE36" i="11"/>
  <c r="BF25" i="11"/>
  <c r="BG25" i="11"/>
  <c r="AD29" i="11" l="1"/>
  <c r="AD30" i="11"/>
  <c r="AD31" i="11"/>
  <c r="AD33" i="11"/>
  <c r="AD36" i="11" s="1"/>
  <c r="AD34" i="11"/>
  <c r="AD35" i="11"/>
  <c r="AD37" i="11"/>
  <c r="AD38" i="11"/>
  <c r="AD39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19" i="11"/>
  <c r="AD25" i="11"/>
  <c r="AD26" i="11"/>
  <c r="AD27" i="11"/>
  <c r="AD18" i="11" l="1"/>
  <c r="AD10" i="11"/>
  <c r="AD40" i="11"/>
  <c r="AD32" i="11"/>
  <c r="AD17" i="11" s="1"/>
  <c r="AD20" i="11"/>
  <c r="AD21" i="11" s="1"/>
  <c r="AD11" i="11"/>
  <c r="AD12" i="11" s="1"/>
  <c r="AK29" i="29"/>
  <c r="AK30" i="29"/>
  <c r="AD14" i="11" l="1"/>
  <c r="AD15" i="11" s="1"/>
  <c r="AD22" i="11"/>
  <c r="P14" i="29"/>
  <c r="AC29" i="11" l="1"/>
  <c r="AC30" i="11"/>
  <c r="AC31" i="11"/>
  <c r="AC33" i="11"/>
  <c r="AC34" i="11"/>
  <c r="AC35" i="11"/>
  <c r="AC37" i="11"/>
  <c r="AC38" i="11"/>
  <c r="AC39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32" i="11" l="1"/>
  <c r="AC36" i="11"/>
  <c r="AC40" i="11"/>
  <c r="AB10" i="29"/>
  <c r="AB42" i="11" l="1"/>
  <c r="AB43" i="11"/>
  <c r="AB44" i="11"/>
  <c r="AB45" i="11"/>
  <c r="AB46" i="11"/>
  <c r="AB47" i="11"/>
  <c r="AB48" i="11"/>
  <c r="AB49" i="11"/>
  <c r="AB50" i="11"/>
  <c r="AB51" i="11"/>
  <c r="AB52" i="11"/>
  <c r="AB41" i="11"/>
  <c r="AB38" i="11"/>
  <c r="AB39" i="11"/>
  <c r="AB37" i="11"/>
  <c r="AB34" i="11"/>
  <c r="AB35" i="11"/>
  <c r="AB33" i="11"/>
  <c r="AB30" i="11"/>
  <c r="AB31" i="11"/>
  <c r="AB29" i="11"/>
  <c r="AB26" i="11"/>
  <c r="AB27" i="11"/>
  <c r="AB25" i="11"/>
  <c r="AB40" i="11" l="1"/>
  <c r="AB36" i="11"/>
  <c r="AB32" i="11"/>
  <c r="B5" i="31"/>
  <c r="B9" i="31" s="1"/>
  <c r="AA28" i="11" l="1"/>
  <c r="AG25" i="11"/>
  <c r="AH25" i="11"/>
  <c r="AI25" i="11"/>
  <c r="AJ25" i="11"/>
  <c r="AK25" i="11"/>
  <c r="AL25" i="11"/>
  <c r="AM25" i="11"/>
  <c r="AG26" i="11"/>
  <c r="AH26" i="11"/>
  <c r="AI26" i="11"/>
  <c r="AJ26" i="11"/>
  <c r="AK26" i="11"/>
  <c r="AL26" i="11"/>
  <c r="AM26" i="11"/>
  <c r="AG27" i="11"/>
  <c r="AH27" i="11"/>
  <c r="AI27" i="11"/>
  <c r="AJ27" i="11"/>
  <c r="AK27" i="11"/>
  <c r="AL27" i="11"/>
  <c r="AM27" i="11"/>
  <c r="AG29" i="11"/>
  <c r="AH29" i="11"/>
  <c r="AI29" i="11"/>
  <c r="AJ29" i="11"/>
  <c r="AK29" i="11"/>
  <c r="AL29" i="11"/>
  <c r="AM29" i="11"/>
  <c r="AG30" i="11"/>
  <c r="AH30" i="11"/>
  <c r="AI30" i="11"/>
  <c r="AJ30" i="11"/>
  <c r="AK30" i="11"/>
  <c r="AL30" i="11"/>
  <c r="AM30" i="11"/>
  <c r="AG31" i="11"/>
  <c r="AH31" i="11"/>
  <c r="AI31" i="11"/>
  <c r="AJ31" i="11"/>
  <c r="AK31" i="11"/>
  <c r="AL31" i="11"/>
  <c r="AM31" i="11"/>
  <c r="AG33" i="11"/>
  <c r="AH33" i="11"/>
  <c r="AI33" i="11"/>
  <c r="AJ33" i="11"/>
  <c r="AK33" i="11"/>
  <c r="AL33" i="11"/>
  <c r="AM33" i="11"/>
  <c r="AG34" i="11"/>
  <c r="AH34" i="11"/>
  <c r="AI34" i="11"/>
  <c r="AJ34" i="11"/>
  <c r="AK34" i="11"/>
  <c r="AL34" i="11"/>
  <c r="AM34" i="11"/>
  <c r="AG35" i="11"/>
  <c r="AH35" i="11"/>
  <c r="AI35" i="11"/>
  <c r="AJ35" i="11"/>
  <c r="AK35" i="11"/>
  <c r="AL35" i="11"/>
  <c r="AM35" i="11"/>
  <c r="AG37" i="11"/>
  <c r="AH37" i="11"/>
  <c r="AI37" i="11"/>
  <c r="AJ37" i="11"/>
  <c r="AK37" i="11"/>
  <c r="AL37" i="11"/>
  <c r="AM37" i="11"/>
  <c r="AG38" i="11"/>
  <c r="AH38" i="11"/>
  <c r="AI38" i="11"/>
  <c r="AJ38" i="11"/>
  <c r="AK38" i="11"/>
  <c r="AL38" i="11"/>
  <c r="AM38" i="11"/>
  <c r="AG39" i="11"/>
  <c r="AH39" i="11"/>
  <c r="AI39" i="11"/>
  <c r="AJ39" i="11"/>
  <c r="AK39" i="11"/>
  <c r="AL39" i="11"/>
  <c r="AM39" i="11"/>
  <c r="AG41" i="11"/>
  <c r="AH41" i="11"/>
  <c r="AI41" i="11"/>
  <c r="AJ41" i="11"/>
  <c r="AK41" i="11"/>
  <c r="AL41" i="11"/>
  <c r="AM41" i="11"/>
  <c r="AG42" i="11"/>
  <c r="AH42" i="11"/>
  <c r="AI42" i="11"/>
  <c r="AJ42" i="11"/>
  <c r="AK42" i="11"/>
  <c r="AL42" i="11"/>
  <c r="AM42" i="11"/>
  <c r="AG43" i="11"/>
  <c r="AH43" i="11"/>
  <c r="AI43" i="11"/>
  <c r="AJ43" i="11"/>
  <c r="AK43" i="11"/>
  <c r="AL43" i="11"/>
  <c r="AM43" i="11"/>
  <c r="AG44" i="11"/>
  <c r="AH44" i="11"/>
  <c r="AI44" i="11"/>
  <c r="AJ44" i="11"/>
  <c r="AK44" i="11"/>
  <c r="AL44" i="11"/>
  <c r="AM44" i="11"/>
  <c r="AG45" i="11"/>
  <c r="AH45" i="11"/>
  <c r="AI45" i="11"/>
  <c r="AJ45" i="11"/>
  <c r="AK45" i="11"/>
  <c r="AL45" i="11"/>
  <c r="AM45" i="11"/>
  <c r="AG46" i="11"/>
  <c r="AH46" i="11"/>
  <c r="AI46" i="11"/>
  <c r="AJ46" i="11"/>
  <c r="AK46" i="11"/>
  <c r="AL46" i="11"/>
  <c r="AM46" i="11"/>
  <c r="AG47" i="11"/>
  <c r="AH47" i="11"/>
  <c r="AI47" i="11"/>
  <c r="AJ47" i="11"/>
  <c r="AK47" i="11"/>
  <c r="AL47" i="11"/>
  <c r="AM47" i="11"/>
  <c r="AG48" i="11"/>
  <c r="AH48" i="11"/>
  <c r="AI48" i="11"/>
  <c r="AJ48" i="11"/>
  <c r="AK48" i="11"/>
  <c r="AL48" i="11"/>
  <c r="AM48" i="11"/>
  <c r="AG49" i="11"/>
  <c r="AH49" i="11"/>
  <c r="AI49" i="11"/>
  <c r="AJ49" i="11"/>
  <c r="AK49" i="11"/>
  <c r="AL49" i="11"/>
  <c r="AM49" i="11"/>
  <c r="AG50" i="11"/>
  <c r="AH50" i="11"/>
  <c r="AI50" i="11"/>
  <c r="AJ50" i="11"/>
  <c r="AK50" i="11"/>
  <c r="AL50" i="11"/>
  <c r="AM50" i="11"/>
  <c r="AG51" i="11"/>
  <c r="AH51" i="11"/>
  <c r="AI51" i="11"/>
  <c r="AJ51" i="11"/>
  <c r="AK51" i="11"/>
  <c r="AL51" i="11"/>
  <c r="AM51" i="11"/>
  <c r="AG52" i="11"/>
  <c r="AH52" i="11"/>
  <c r="AI52" i="11"/>
  <c r="AJ52" i="11"/>
  <c r="AK52" i="11"/>
  <c r="AL52" i="11"/>
  <c r="AM52" i="11"/>
  <c r="AA25" i="11"/>
  <c r="AA26" i="11"/>
  <c r="AA27" i="11"/>
  <c r="AK32" i="11" l="1"/>
  <c r="AM32" i="11"/>
  <c r="AJ32" i="11"/>
  <c r="AM40" i="11"/>
  <c r="AL40" i="11"/>
  <c r="AJ36" i="11"/>
  <c r="AK40" i="11"/>
  <c r="AI36" i="11"/>
  <c r="AJ40" i="11"/>
  <c r="AG36" i="11"/>
  <c r="AG32" i="11"/>
  <c r="AH40" i="11"/>
  <c r="AH36" i="11"/>
  <c r="AM36" i="11"/>
  <c r="AH32" i="11"/>
  <c r="AL36" i="11"/>
  <c r="AI40" i="11"/>
  <c r="AL32" i="11"/>
  <c r="AG40" i="11"/>
  <c r="AK36" i="11"/>
  <c r="AI32" i="11"/>
  <c r="BL14" i="30" l="1"/>
  <c r="BM14" i="30"/>
  <c r="BM31" i="30" s="1"/>
  <c r="BN14" i="30"/>
  <c r="BN31" i="30" s="1"/>
  <c r="AH31" i="30"/>
  <c r="AR31" i="30"/>
  <c r="AS31" i="30"/>
  <c r="AT31" i="30"/>
  <c r="AU31" i="30"/>
  <c r="AV31" i="30"/>
  <c r="AW31" i="30"/>
  <c r="AX31" i="30"/>
  <c r="AY31" i="30"/>
  <c r="AZ31" i="30"/>
  <c r="BA31" i="30"/>
  <c r="BB31" i="30"/>
  <c r="BC31" i="30"/>
  <c r="AK10" i="11" l="1"/>
  <c r="AK18" i="11"/>
  <c r="AL18" i="11"/>
  <c r="AK20" i="11"/>
  <c r="AL10" i="11" l="1"/>
  <c r="AK11" i="11"/>
  <c r="AK12" i="11" s="1"/>
  <c r="AL17" i="11"/>
  <c r="AK17" i="11"/>
  <c r="AL14" i="11"/>
  <c r="AL15" i="11" s="1"/>
  <c r="AL19" i="11"/>
  <c r="AK19" i="11"/>
  <c r="AK21" i="11" s="1"/>
  <c r="AL11" i="11"/>
  <c r="AL12" i="11" s="1"/>
  <c r="AL20" i="11"/>
  <c r="AK22" i="11" l="1"/>
  <c r="AL21" i="11"/>
  <c r="AL22" i="11" s="1"/>
  <c r="AK14" i="11"/>
  <c r="AK15" i="11" s="1"/>
  <c r="B3" i="31" l="1"/>
  <c r="D9" i="31"/>
  <c r="E9" i="31"/>
  <c r="F9" i="31"/>
  <c r="G9" i="31"/>
  <c r="H9" i="31"/>
  <c r="I9" i="31"/>
  <c r="J9" i="31"/>
  <c r="K9" i="31"/>
  <c r="L9" i="31"/>
  <c r="M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C9" i="31"/>
  <c r="I10" i="29" l="1"/>
  <c r="J10" i="29"/>
  <c r="K10" i="29"/>
  <c r="I14" i="29"/>
  <c r="J14" i="29"/>
  <c r="K14" i="29"/>
  <c r="I15" i="29"/>
  <c r="J15" i="29"/>
  <c r="K15" i="29"/>
  <c r="I16" i="29"/>
  <c r="J16" i="29"/>
  <c r="K16" i="29"/>
  <c r="G7" i="31" l="1"/>
  <c r="G2" i="31"/>
  <c r="F7" i="31"/>
  <c r="F2" i="31"/>
  <c r="E7" i="31"/>
  <c r="E2" i="31"/>
  <c r="BE14" i="30"/>
  <c r="BF14" i="30"/>
  <c r="BG14" i="30"/>
  <c r="BH14" i="30"/>
  <c r="BI14" i="30"/>
  <c r="BJ14" i="30"/>
  <c r="BD14" i="30"/>
  <c r="BD31" i="30" s="1"/>
  <c r="BE10" i="30"/>
  <c r="BF10" i="30"/>
  <c r="BG10" i="30"/>
  <c r="BH10" i="30"/>
  <c r="BI10" i="30"/>
  <c r="BJ10" i="30"/>
  <c r="BL10" i="30"/>
  <c r="BL31" i="30" s="1"/>
  <c r="BD10" i="30"/>
  <c r="BK13" i="30"/>
  <c r="J13" i="30" s="1"/>
  <c r="Z35" i="11" s="1"/>
  <c r="Z20" i="11" s="1"/>
  <c r="BK12" i="30"/>
  <c r="J12" i="30" s="1"/>
  <c r="Z34" i="11" s="1"/>
  <c r="Z19" i="11" s="1"/>
  <c r="BK11" i="30"/>
  <c r="J11" i="30" s="1"/>
  <c r="Z33" i="11" s="1"/>
  <c r="BK9" i="30"/>
  <c r="J9" i="30" s="1"/>
  <c r="Z31" i="11" s="1"/>
  <c r="BK8" i="30"/>
  <c r="J8" i="30" s="1"/>
  <c r="Z30" i="11" s="1"/>
  <c r="BK7" i="30"/>
  <c r="BH31" i="30" l="1"/>
  <c r="Z18" i="11"/>
  <c r="Z21" i="11" s="1"/>
  <c r="Z36" i="11"/>
  <c r="BK10" i="30"/>
  <c r="J10" i="30" s="1"/>
  <c r="J7" i="30"/>
  <c r="Z29" i="11" s="1"/>
  <c r="Z32" i="11" s="1"/>
  <c r="BI31" i="30"/>
  <c r="BJ31" i="30"/>
  <c r="BK14" i="30"/>
  <c r="J14" i="30" s="1"/>
  <c r="BE31" i="30"/>
  <c r="BG31" i="30"/>
  <c r="BF31" i="30"/>
  <c r="E8" i="31"/>
  <c r="E10" i="31" s="1"/>
  <c r="E4" i="31"/>
  <c r="F8" i="31"/>
  <c r="F10" i="31" s="1"/>
  <c r="F4" i="31"/>
  <c r="G8" i="31"/>
  <c r="G10" i="31" s="1"/>
  <c r="G4" i="31"/>
  <c r="Z17" i="11" l="1"/>
  <c r="Z22" i="11" s="1"/>
  <c r="Z28" i="11"/>
  <c r="Z14" i="11"/>
  <c r="Z15" i="11" s="1"/>
  <c r="BK31" i="30"/>
  <c r="J31" i="30"/>
  <c r="AJ10" i="11" l="1"/>
  <c r="AJ18" i="11"/>
  <c r="AJ20" i="11" l="1"/>
  <c r="AJ19" i="11"/>
  <c r="AJ11" i="11"/>
  <c r="AJ12" i="11" s="1"/>
  <c r="AJ17" i="11"/>
  <c r="AJ21" i="11" l="1"/>
  <c r="AJ22" i="11" s="1"/>
  <c r="AJ14" i="11"/>
  <c r="AJ15" i="11" s="1"/>
  <c r="AI10" i="11" l="1"/>
  <c r="AI17" i="11" l="1"/>
  <c r="AI11" i="11"/>
  <c r="AI12" i="11" s="1"/>
  <c r="AI18" i="11"/>
  <c r="AI19" i="11"/>
  <c r="AI20" i="11"/>
  <c r="AI14" i="11" l="1"/>
  <c r="AI15" i="11" s="1"/>
  <c r="AI21" i="11"/>
  <c r="AI22" i="11" s="1"/>
  <c r="AH18" i="11" l="1"/>
  <c r="AH20" i="11"/>
  <c r="AH10" i="11" l="1"/>
  <c r="AH11" i="11"/>
  <c r="AH12" i="11" s="1"/>
  <c r="AH19" i="11"/>
  <c r="AH21" i="11" s="1"/>
  <c r="AH17" i="11"/>
  <c r="AH22" i="11" l="1"/>
  <c r="AH14" i="11"/>
  <c r="AH15" i="11" s="1"/>
  <c r="BQ25" i="11"/>
  <c r="Z29" i="29" l="1"/>
  <c r="AG18" i="11" l="1"/>
  <c r="AG20" i="11"/>
  <c r="AG19" i="11" l="1"/>
  <c r="AG21" i="11" s="1"/>
  <c r="AG11" i="11"/>
  <c r="AG12" i="11" s="1"/>
  <c r="AG10" i="11"/>
  <c r="AG17" i="11"/>
  <c r="AG22" i="11" l="1"/>
  <c r="AG14" i="11"/>
  <c r="AG15" i="11" s="1"/>
  <c r="BL30" i="11" l="1"/>
  <c r="BL11" i="11" s="1"/>
  <c r="BL12" i="11" s="1"/>
  <c r="BM30" i="11"/>
  <c r="BM11" i="11" s="1"/>
  <c r="BM12" i="11" s="1"/>
  <c r="BN30" i="11"/>
  <c r="BO30" i="11"/>
  <c r="BP30" i="11"/>
  <c r="BP11" i="11" s="1"/>
  <c r="BP12" i="11" s="1"/>
  <c r="F4" i="29" l="1"/>
  <c r="BK25" i="11" l="1"/>
  <c r="AK10" i="29" l="1"/>
  <c r="AK15" i="29" l="1"/>
  <c r="AK16" i="29"/>
  <c r="AK17" i="29"/>
  <c r="AK18" i="29" l="1"/>
  <c r="AZ25" i="11" l="1"/>
  <c r="Q30" i="29" l="1"/>
  <c r="AK14" i="29" l="1"/>
  <c r="AG7" i="31" l="1"/>
  <c r="AG2" i="31"/>
  <c r="BS25" i="11"/>
  <c r="BS26" i="11"/>
  <c r="BS27" i="11"/>
  <c r="BS29" i="11"/>
  <c r="BS30" i="11"/>
  <c r="BS31" i="11"/>
  <c r="BS33" i="11"/>
  <c r="BS34" i="11"/>
  <c r="BS35" i="11"/>
  <c r="BS41" i="11"/>
  <c r="BS42" i="11"/>
  <c r="BS43" i="11"/>
  <c r="BS44" i="11"/>
  <c r="BS45" i="11"/>
  <c r="BS46" i="11"/>
  <c r="BS47" i="11"/>
  <c r="BS48" i="11"/>
  <c r="BS49" i="11"/>
  <c r="BS50" i="11"/>
  <c r="BS51" i="11"/>
  <c r="BS52" i="11"/>
  <c r="AG8" i="31" l="1"/>
  <c r="AG10" i="31" s="1"/>
  <c r="AG4" i="31"/>
  <c r="BS37" i="11"/>
  <c r="BS32" i="11"/>
  <c r="BS39" i="11"/>
  <c r="BS38" i="11"/>
  <c r="BS36" i="11"/>
  <c r="BS40" i="11" l="1"/>
  <c r="AA14" i="29"/>
  <c r="W2" i="31" l="1"/>
  <c r="BM25" i="11"/>
  <c r="BN25" i="11"/>
  <c r="W8" i="31" l="1"/>
  <c r="W4" i="31"/>
  <c r="AS25" i="11"/>
  <c r="I14" i="30" l="1"/>
  <c r="I5" i="30"/>
  <c r="I6" i="30"/>
  <c r="I7" i="30"/>
  <c r="I8" i="30"/>
  <c r="I9" i="30"/>
  <c r="I10" i="30"/>
  <c r="I11" i="30"/>
  <c r="I12" i="30"/>
  <c r="I13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4" i="30"/>
  <c r="I31" i="30" l="1"/>
  <c r="AV25" i="11" l="1"/>
  <c r="BM29" i="11" l="1"/>
  <c r="F5" i="29" l="1"/>
  <c r="F6" i="29"/>
  <c r="F11" i="29"/>
  <c r="F12" i="29"/>
  <c r="BT12" i="30" s="1"/>
  <c r="F13" i="29"/>
  <c r="BT13" i="30" s="1"/>
  <c r="F19" i="29"/>
  <c r="F20" i="29"/>
  <c r="F21" i="29"/>
  <c r="F22" i="29"/>
  <c r="F23" i="29"/>
  <c r="F24" i="29"/>
  <c r="F25" i="29"/>
  <c r="F26" i="29"/>
  <c r="F27" i="29"/>
  <c r="F28" i="29"/>
  <c r="AE19" i="11" l="1"/>
  <c r="AF34" i="11"/>
  <c r="AF19" i="11" s="1"/>
  <c r="AE20" i="11"/>
  <c r="AF35" i="11"/>
  <c r="AF20" i="11" s="1"/>
  <c r="K12" i="30"/>
  <c r="AA34" i="11" s="1"/>
  <c r="AA19" i="11" s="1"/>
  <c r="AC19" i="11"/>
  <c r="K13" i="30"/>
  <c r="AA35" i="11" s="1"/>
  <c r="AA20" i="11" s="1"/>
  <c r="AC20" i="11"/>
  <c r="BT25" i="11"/>
  <c r="BT26" i="11"/>
  <c r="BT27" i="11"/>
  <c r="BT29" i="11"/>
  <c r="BT30" i="11"/>
  <c r="BT31" i="11"/>
  <c r="BT33" i="11"/>
  <c r="BT34" i="11"/>
  <c r="BT35" i="11"/>
  <c r="BT41" i="11"/>
  <c r="BT42" i="11"/>
  <c r="BT43" i="11"/>
  <c r="BT44" i="11"/>
  <c r="BT45" i="11"/>
  <c r="BT46" i="11"/>
  <c r="BT47" i="11"/>
  <c r="BT48" i="11"/>
  <c r="BT49" i="11"/>
  <c r="BT50" i="11"/>
  <c r="BT32" i="11" l="1"/>
  <c r="BT38" i="11"/>
  <c r="BT36" i="11"/>
  <c r="BT37" i="11"/>
  <c r="BT39" i="11"/>
  <c r="BT40" i="11" l="1"/>
  <c r="AE17" i="29" l="1"/>
  <c r="BT26" i="30" l="1"/>
  <c r="AF48" i="11" s="1"/>
  <c r="BT27" i="30"/>
  <c r="AF49" i="11" s="1"/>
  <c r="BT28" i="30"/>
  <c r="AF50" i="11" s="1"/>
  <c r="K28" i="30" l="1"/>
  <c r="AA50" i="11" s="1"/>
  <c r="K27" i="30"/>
  <c r="AA49" i="11" s="1"/>
  <c r="K26" i="30"/>
  <c r="AA48" i="11" s="1"/>
  <c r="J27" i="30"/>
  <c r="Z49" i="11" s="1"/>
  <c r="J28" i="30"/>
  <c r="Z50" i="11" s="1"/>
  <c r="J26" i="30"/>
  <c r="Z48" i="11" s="1"/>
  <c r="AJ10" i="29"/>
  <c r="AO25" i="11" l="1"/>
  <c r="AP25" i="11"/>
  <c r="AQ25" i="11"/>
  <c r="AT25" i="11"/>
  <c r="AU25" i="11"/>
  <c r="AW25" i="11"/>
  <c r="AX25" i="11"/>
  <c r="AY25" i="11"/>
  <c r="BC25" i="11"/>
  <c r="BD25" i="11"/>
  <c r="BE25" i="11"/>
  <c r="BH25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E29" i="11"/>
  <c r="BF29" i="11"/>
  <c r="BG29" i="11"/>
  <c r="BH29" i="11"/>
  <c r="AO30" i="11"/>
  <c r="AP30" i="11"/>
  <c r="AQ30" i="11"/>
  <c r="AR30" i="11"/>
  <c r="AS30" i="11"/>
  <c r="AS11" i="11" s="1"/>
  <c r="AS12" i="11" s="1"/>
  <c r="AT30" i="11"/>
  <c r="AU30" i="11"/>
  <c r="AU11" i="11" s="1"/>
  <c r="AU12" i="11" s="1"/>
  <c r="AV30" i="11"/>
  <c r="AV11" i="11" s="1"/>
  <c r="AV12" i="11" s="1"/>
  <c r="AW30" i="11"/>
  <c r="AW11" i="11" s="1"/>
  <c r="AW12" i="11" s="1"/>
  <c r="AX30" i="11"/>
  <c r="AX11" i="11" s="1"/>
  <c r="AX12" i="11" s="1"/>
  <c r="AY30" i="11"/>
  <c r="AZ30" i="11"/>
  <c r="BA30" i="11"/>
  <c r="BB30" i="11"/>
  <c r="BC30" i="11"/>
  <c r="BC11" i="11" s="1"/>
  <c r="BC12" i="11" s="1"/>
  <c r="BD30" i="11"/>
  <c r="BD11" i="11" s="1"/>
  <c r="BD12" i="11" s="1"/>
  <c r="BE30" i="11"/>
  <c r="BE11" i="11" s="1"/>
  <c r="BE12" i="11" s="1"/>
  <c r="BF30" i="11"/>
  <c r="BF11" i="11" s="1"/>
  <c r="BF12" i="11" s="1"/>
  <c r="BG30" i="11"/>
  <c r="BG11" i="11" s="1"/>
  <c r="BG12" i="11" s="1"/>
  <c r="BH30" i="11"/>
  <c r="BH11" i="11" s="1"/>
  <c r="BH12" i="11" s="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AO33" i="11"/>
  <c r="AO18" i="11" s="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AO35" i="11"/>
  <c r="AO10" i="11" s="1"/>
  <c r="AP35" i="11"/>
  <c r="AP10" i="11" s="1"/>
  <c r="AQ35" i="11"/>
  <c r="AQ10" i="11" s="1"/>
  <c r="AR35" i="11"/>
  <c r="AR10" i="11" s="1"/>
  <c r="AS35" i="11"/>
  <c r="AS10" i="11" s="1"/>
  <c r="AT35" i="11"/>
  <c r="AT10" i="11" s="1"/>
  <c r="AU35" i="11"/>
  <c r="AU10" i="11" s="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E48" i="11"/>
  <c r="BF48" i="11"/>
  <c r="BG48" i="11"/>
  <c r="BH48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AY11" i="11" l="1"/>
  <c r="AY12" i="11"/>
  <c r="AY19" i="11"/>
  <c r="AT11" i="11"/>
  <c r="AT12" i="11" s="1"/>
  <c r="AP11" i="11"/>
  <c r="AP12" i="11" s="1"/>
  <c r="AR11" i="11"/>
  <c r="AR12" i="11" s="1"/>
  <c r="AQ11" i="11"/>
  <c r="AQ12" i="11"/>
  <c r="AP18" i="11"/>
  <c r="AQ18" i="11" s="1"/>
  <c r="AR18" i="11" s="1"/>
  <c r="AS18" i="11" s="1"/>
  <c r="AT18" i="11" s="1"/>
  <c r="AU18" i="11" s="1"/>
  <c r="AO11" i="11"/>
  <c r="AO12" i="11" s="1"/>
  <c r="AO19" i="11"/>
  <c r="AP19" i="11" s="1"/>
  <c r="AQ19" i="11" s="1"/>
  <c r="AR19" i="11" s="1"/>
  <c r="AS19" i="11" s="1"/>
  <c r="AT19" i="11" s="1"/>
  <c r="AU19" i="11" s="1"/>
  <c r="AO20" i="11"/>
  <c r="AP20" i="11" s="1"/>
  <c r="AQ20" i="11" s="1"/>
  <c r="AR20" i="11" s="1"/>
  <c r="AS20" i="11" s="1"/>
  <c r="AT20" i="11" s="1"/>
  <c r="AU20" i="11" s="1"/>
  <c r="AO32" i="11"/>
  <c r="AU37" i="11"/>
  <c r="BF38" i="11"/>
  <c r="AX38" i="11"/>
  <c r="BB37" i="11"/>
  <c r="AT37" i="11"/>
  <c r="AS37" i="11"/>
  <c r="AO38" i="11"/>
  <c r="BF37" i="11"/>
  <c r="AP32" i="11"/>
  <c r="AZ37" i="11"/>
  <c r="AW32" i="11"/>
  <c r="AW14" i="11" s="1"/>
  <c r="AW15" i="11" s="1"/>
  <c r="BH39" i="11"/>
  <c r="BH32" i="11"/>
  <c r="BH14" i="11" s="1"/>
  <c r="BH15" i="11" s="1"/>
  <c r="BH38" i="11"/>
  <c r="BG38" i="11"/>
  <c r="BH36" i="11"/>
  <c r="BG39" i="11"/>
  <c r="BF39" i="11"/>
  <c r="BF32" i="11"/>
  <c r="BF14" i="11" s="1"/>
  <c r="BF15" i="11" s="1"/>
  <c r="BF36" i="11"/>
  <c r="BE39" i="11"/>
  <c r="BE38" i="11"/>
  <c r="BE37" i="11"/>
  <c r="BE32" i="11"/>
  <c r="BE14" i="11" s="1"/>
  <c r="BE15" i="11" s="1"/>
  <c r="BE36" i="11"/>
  <c r="AU36" i="11"/>
  <c r="BD39" i="11"/>
  <c r="BD37" i="11"/>
  <c r="BC39" i="11"/>
  <c r="BC37" i="11"/>
  <c r="BD38" i="11"/>
  <c r="BC32" i="11"/>
  <c r="BB38" i="11"/>
  <c r="BB39" i="11"/>
  <c r="BA39" i="11"/>
  <c r="BC36" i="11"/>
  <c r="BC38" i="11"/>
  <c r="BA37" i="11"/>
  <c r="BA32" i="11"/>
  <c r="BA38" i="11"/>
  <c r="AZ39" i="11"/>
  <c r="AZ32" i="11"/>
  <c r="AZ38" i="11"/>
  <c r="AV38" i="11"/>
  <c r="AX39" i="11"/>
  <c r="AY38" i="11"/>
  <c r="AX37" i="11"/>
  <c r="AW39" i="11"/>
  <c r="AV39" i="11"/>
  <c r="AW38" i="11"/>
  <c r="AY39" i="11"/>
  <c r="AW36" i="11"/>
  <c r="AW37" i="11"/>
  <c r="AU39" i="11"/>
  <c r="AX36" i="11"/>
  <c r="AU32" i="11"/>
  <c r="AO37" i="11"/>
  <c r="AT38" i="11"/>
  <c r="AT39" i="11"/>
  <c r="AS36" i="11"/>
  <c r="AS38" i="11"/>
  <c r="AS39" i="11"/>
  <c r="AS32" i="11"/>
  <c r="BG32" i="11"/>
  <c r="AU38" i="11"/>
  <c r="BG36" i="11"/>
  <c r="AY36" i="11"/>
  <c r="AY32" i="11"/>
  <c r="BA36" i="11"/>
  <c r="AP36" i="11"/>
  <c r="AZ36" i="11"/>
  <c r="BD32" i="11"/>
  <c r="AV32" i="11"/>
  <c r="AV14" i="11" s="1"/>
  <c r="AV15" i="11" s="1"/>
  <c r="AP37" i="11"/>
  <c r="BD36" i="11"/>
  <c r="AV36" i="11"/>
  <c r="AQ38" i="11"/>
  <c r="AR32" i="11"/>
  <c r="BH37" i="11"/>
  <c r="AX32" i="11"/>
  <c r="AX14" i="11" s="1"/>
  <c r="AX15" i="11" s="1"/>
  <c r="BB32" i="11"/>
  <c r="AT32" i="11"/>
  <c r="BG37" i="11"/>
  <c r="AY37" i="11"/>
  <c r="BB36" i="11"/>
  <c r="AT36" i="11"/>
  <c r="AR39" i="11"/>
  <c r="AR37" i="11"/>
  <c r="AQ32" i="11"/>
  <c r="AQ39" i="11"/>
  <c r="AQ37" i="11"/>
  <c r="AQ36" i="11"/>
  <c r="AP39" i="11"/>
  <c r="AO39" i="11"/>
  <c r="AP38" i="11"/>
  <c r="AO36" i="11"/>
  <c r="AR38" i="11"/>
  <c r="AR36" i="11"/>
  <c r="AV37" i="11"/>
  <c r="BG14" i="11" l="1"/>
  <c r="BG15" i="11" s="1"/>
  <c r="BD14" i="11"/>
  <c r="BD15" i="11" s="1"/>
  <c r="BC14" i="11"/>
  <c r="BC15" i="11" s="1"/>
  <c r="BB14" i="11"/>
  <c r="BB15" i="11" s="1"/>
  <c r="AY14" i="11"/>
  <c r="AY15" i="11" s="1"/>
  <c r="AY21" i="11"/>
  <c r="AU14" i="11"/>
  <c r="AU15" i="11" s="1"/>
  <c r="AR14" i="11"/>
  <c r="AR15" i="11" s="1"/>
  <c r="AT14" i="11"/>
  <c r="AT15" i="11" s="1"/>
  <c r="AP14" i="11"/>
  <c r="AP15" i="11"/>
  <c r="AQ14" i="11"/>
  <c r="AQ15" i="11"/>
  <c r="AS14" i="11"/>
  <c r="AS15" i="11" s="1"/>
  <c r="AW40" i="11"/>
  <c r="AU40" i="11"/>
  <c r="AX40" i="11"/>
  <c r="AZ40" i="11"/>
  <c r="AT40" i="11"/>
  <c r="BA40" i="11"/>
  <c r="AO40" i="11"/>
  <c r="AY40" i="11"/>
  <c r="AS40" i="11"/>
  <c r="AP40" i="11"/>
  <c r="AV40" i="11"/>
  <c r="AR40" i="11"/>
  <c r="AQ40" i="11"/>
  <c r="AO21" i="11"/>
  <c r="AP21" i="11" s="1"/>
  <c r="AO17" i="11"/>
  <c r="AP17" i="11" s="1"/>
  <c r="AQ17" i="11" s="1"/>
  <c r="AR17" i="11" s="1"/>
  <c r="AS17" i="11" s="1"/>
  <c r="AT17" i="11" s="1"/>
  <c r="AU17" i="11" s="1"/>
  <c r="AV17" i="11" s="1"/>
  <c r="AO14" i="11"/>
  <c r="AO15" i="11" s="1"/>
  <c r="BH40" i="11"/>
  <c r="BB40" i="11"/>
  <c r="BF40" i="11"/>
  <c r="BG40" i="11"/>
  <c r="BE40" i="11"/>
  <c r="BD40" i="11"/>
  <c r="BC40" i="11"/>
  <c r="AW17" i="11" l="1"/>
  <c r="AV22" i="11"/>
  <c r="AQ21" i="11"/>
  <c r="AP22" i="11"/>
  <c r="AO22" i="11"/>
  <c r="H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W7" i="31" s="1"/>
  <c r="W10" i="31" s="1"/>
  <c r="AC10" i="29"/>
  <c r="AD10" i="29"/>
  <c r="AE10" i="29"/>
  <c r="AF10" i="29"/>
  <c r="AG10" i="29"/>
  <c r="G10" i="29"/>
  <c r="AI10" i="29"/>
  <c r="AL10" i="29"/>
  <c r="G14" i="29"/>
  <c r="H14" i="29"/>
  <c r="L14" i="29"/>
  <c r="M14" i="29"/>
  <c r="N14" i="29"/>
  <c r="O14" i="29"/>
  <c r="Q14" i="29"/>
  <c r="R14" i="29"/>
  <c r="S14" i="29"/>
  <c r="T14" i="29"/>
  <c r="U14" i="29"/>
  <c r="V14" i="29"/>
  <c r="W14" i="29"/>
  <c r="X14" i="29"/>
  <c r="Y14" i="29"/>
  <c r="Z14" i="29"/>
  <c r="AB14" i="29"/>
  <c r="AC14" i="29"/>
  <c r="AD14" i="29"/>
  <c r="AE14" i="29"/>
  <c r="AF14" i="29"/>
  <c r="AG14" i="29"/>
  <c r="AH14" i="29"/>
  <c r="AI14" i="29"/>
  <c r="AJ14" i="29"/>
  <c r="AL14" i="29"/>
  <c r="G15" i="29"/>
  <c r="H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AD15" i="29"/>
  <c r="AE15" i="29"/>
  <c r="AF15" i="29"/>
  <c r="AG15" i="29"/>
  <c r="AI15" i="29"/>
  <c r="AJ15" i="29"/>
  <c r="AL15" i="29"/>
  <c r="G16" i="29"/>
  <c r="H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AD16" i="29"/>
  <c r="AE16" i="29"/>
  <c r="AF16" i="29"/>
  <c r="AG16" i="29"/>
  <c r="AI16" i="29"/>
  <c r="AJ16" i="29"/>
  <c r="AL16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AD17" i="29"/>
  <c r="AF17" i="29"/>
  <c r="AG17" i="29"/>
  <c r="AI17" i="29"/>
  <c r="AJ17" i="29"/>
  <c r="AL17" i="29"/>
  <c r="G29" i="29"/>
  <c r="AO51" i="11" s="1"/>
  <c r="H29" i="29"/>
  <c r="AP51" i="11" s="1"/>
  <c r="I29" i="29"/>
  <c r="AQ51" i="11" s="1"/>
  <c r="J29" i="29"/>
  <c r="K29" i="29"/>
  <c r="L29" i="29"/>
  <c r="AT51" i="11" s="1"/>
  <c r="M29" i="29"/>
  <c r="N29" i="29"/>
  <c r="AV51" i="11" s="1"/>
  <c r="O29" i="29"/>
  <c r="AW51" i="11" s="1"/>
  <c r="P29" i="29"/>
  <c r="AX51" i="11" s="1"/>
  <c r="Q29" i="29"/>
  <c r="AY51" i="11" s="1"/>
  <c r="R29" i="29"/>
  <c r="AZ51" i="11" s="1"/>
  <c r="S29" i="29"/>
  <c r="BA51" i="11" s="1"/>
  <c r="T29" i="29"/>
  <c r="BB51" i="11" s="1"/>
  <c r="U29" i="29"/>
  <c r="BC51" i="11" s="1"/>
  <c r="V29" i="29"/>
  <c r="BD51" i="11" s="1"/>
  <c r="W29" i="29"/>
  <c r="BE51" i="11" s="1"/>
  <c r="X29" i="29"/>
  <c r="BF51" i="11" s="1"/>
  <c r="Y29" i="29"/>
  <c r="BG51" i="11" s="1"/>
  <c r="BH51" i="11"/>
  <c r="AA29" i="29"/>
  <c r="AB29" i="29"/>
  <c r="AC29" i="29"/>
  <c r="AD29" i="29"/>
  <c r="AE29" i="29"/>
  <c r="AF29" i="29"/>
  <c r="AG29" i="29"/>
  <c r="AH29" i="29"/>
  <c r="AI29" i="29"/>
  <c r="AJ29" i="29"/>
  <c r="AL29" i="29"/>
  <c r="G30" i="29"/>
  <c r="AO52" i="11" s="1"/>
  <c r="H30" i="29"/>
  <c r="AP52" i="11" s="1"/>
  <c r="I30" i="29"/>
  <c r="AQ52" i="11" s="1"/>
  <c r="J30" i="29"/>
  <c r="K30" i="29"/>
  <c r="L30" i="29"/>
  <c r="AT52" i="11" s="1"/>
  <c r="M30" i="29"/>
  <c r="N30" i="29"/>
  <c r="AV52" i="11" s="1"/>
  <c r="O30" i="29"/>
  <c r="AW52" i="11" s="1"/>
  <c r="P30" i="29"/>
  <c r="AX52" i="11" s="1"/>
  <c r="AY52" i="11"/>
  <c r="R30" i="29"/>
  <c r="AZ52" i="11" s="1"/>
  <c r="S30" i="29"/>
  <c r="BA52" i="11" s="1"/>
  <c r="T30" i="29"/>
  <c r="BB52" i="11" s="1"/>
  <c r="U30" i="29"/>
  <c r="BC52" i="11" s="1"/>
  <c r="V30" i="29"/>
  <c r="BD52" i="11" s="1"/>
  <c r="W30" i="29"/>
  <c r="BE52" i="11" s="1"/>
  <c r="X30" i="29"/>
  <c r="BF52" i="11" s="1"/>
  <c r="Y30" i="29"/>
  <c r="BG52" i="11" s="1"/>
  <c r="Z30" i="29"/>
  <c r="BH52" i="11" s="1"/>
  <c r="AA30" i="29"/>
  <c r="AB30" i="29"/>
  <c r="AC30" i="29"/>
  <c r="AD30" i="29"/>
  <c r="AE30" i="29"/>
  <c r="AF30" i="29"/>
  <c r="AG30" i="29"/>
  <c r="AH30" i="29"/>
  <c r="AI30" i="29"/>
  <c r="AJ30" i="29"/>
  <c r="AL30" i="29"/>
  <c r="BT52" i="11" s="1"/>
  <c r="AW22" i="11" l="1"/>
  <c r="AX17" i="11"/>
  <c r="AQ22" i="11"/>
  <c r="AR21" i="11"/>
  <c r="H7" i="31"/>
  <c r="H2" i="31"/>
  <c r="D7" i="31"/>
  <c r="D2" i="31"/>
  <c r="T7" i="31"/>
  <c r="T2" i="31"/>
  <c r="R7" i="31"/>
  <c r="R2" i="31"/>
  <c r="P7" i="31"/>
  <c r="P2" i="31"/>
  <c r="O7" i="31"/>
  <c r="O2" i="31"/>
  <c r="AE7" i="31"/>
  <c r="AE2" i="31"/>
  <c r="AD2" i="31"/>
  <c r="L7" i="31"/>
  <c r="L2" i="31"/>
  <c r="X7" i="31"/>
  <c r="X2" i="31"/>
  <c r="C7" i="31"/>
  <c r="C2" i="31"/>
  <c r="S7" i="31"/>
  <c r="S2" i="31"/>
  <c r="AF7" i="31"/>
  <c r="AF2" i="31"/>
  <c r="N7" i="31"/>
  <c r="N2" i="31"/>
  <c r="AB7" i="31"/>
  <c r="AB2" i="31"/>
  <c r="AA7" i="31"/>
  <c r="AA2" i="31"/>
  <c r="J7" i="31"/>
  <c r="J2" i="31"/>
  <c r="Y7" i="31"/>
  <c r="Y2" i="31"/>
  <c r="Q7" i="31"/>
  <c r="Q2" i="31"/>
  <c r="M7" i="31"/>
  <c r="M2" i="31"/>
  <c r="AC7" i="31"/>
  <c r="AC2" i="31"/>
  <c r="K7" i="31"/>
  <c r="K2" i="31"/>
  <c r="Z7" i="31"/>
  <c r="Z2" i="31"/>
  <c r="I7" i="31"/>
  <c r="I2" i="31"/>
  <c r="V7" i="31"/>
  <c r="V2" i="31"/>
  <c r="U7" i="31"/>
  <c r="U2" i="31"/>
  <c r="U8" i="31" s="1"/>
  <c r="F14" i="29"/>
  <c r="AN30" i="29"/>
  <c r="AU51" i="11"/>
  <c r="F29" i="29"/>
  <c r="AU52" i="11"/>
  <c r="F30" i="29"/>
  <c r="AR51" i="11"/>
  <c r="AR52" i="11"/>
  <c r="BT51" i="11"/>
  <c r="AE18" i="29"/>
  <c r="AS52" i="11"/>
  <c r="AS51" i="11"/>
  <c r="BT19" i="30"/>
  <c r="AF41" i="11" s="1"/>
  <c r="BT25" i="30"/>
  <c r="AF47" i="11" s="1"/>
  <c r="BT24" i="30"/>
  <c r="AF46" i="11" s="1"/>
  <c r="BT23" i="30"/>
  <c r="AF45" i="11" s="1"/>
  <c r="BT22" i="30"/>
  <c r="AF44" i="11" s="1"/>
  <c r="BT21" i="30"/>
  <c r="AF43" i="11" s="1"/>
  <c r="BT20" i="30"/>
  <c r="AF42" i="11" s="1"/>
  <c r="BT11" i="30"/>
  <c r="AF33" i="11" s="1"/>
  <c r="AM20" i="11"/>
  <c r="BT4" i="30"/>
  <c r="AC25" i="11" s="1"/>
  <c r="BT6" i="30"/>
  <c r="AC27" i="11" s="1"/>
  <c r="BT5" i="30"/>
  <c r="AC26" i="11" s="1"/>
  <c r="G18" i="29"/>
  <c r="AL18" i="29"/>
  <c r="AJ18" i="29"/>
  <c r="W18" i="29"/>
  <c r="AI18" i="29"/>
  <c r="O18" i="29"/>
  <c r="AD18" i="29"/>
  <c r="AB18" i="29"/>
  <c r="T18" i="29"/>
  <c r="AF18" i="29"/>
  <c r="AA18" i="29"/>
  <c r="AG18" i="29"/>
  <c r="Y18" i="29"/>
  <c r="Q18" i="29"/>
  <c r="I18" i="29"/>
  <c r="H18" i="29"/>
  <c r="S18" i="29"/>
  <c r="K18" i="29"/>
  <c r="R18" i="29"/>
  <c r="J18" i="29"/>
  <c r="X18" i="29"/>
  <c r="P18" i="29"/>
  <c r="Z18" i="29"/>
  <c r="L18" i="29"/>
  <c r="V18" i="29"/>
  <c r="N18" i="29"/>
  <c r="AC18" i="29"/>
  <c r="U18" i="29"/>
  <c r="M18" i="29"/>
  <c r="AX22" i="11" l="1"/>
  <c r="AY17" i="11"/>
  <c r="AS21" i="11"/>
  <c r="AR22" i="11"/>
  <c r="AF36" i="11"/>
  <c r="AF18" i="11"/>
  <c r="AF21" i="11" s="1"/>
  <c r="AE18" i="11"/>
  <c r="AE21" i="11" s="1"/>
  <c r="K20" i="30"/>
  <c r="AA42" i="11" s="1"/>
  <c r="K22" i="30"/>
  <c r="AA44" i="11" s="1"/>
  <c r="K23" i="30"/>
  <c r="AA45" i="11" s="1"/>
  <c r="K25" i="30"/>
  <c r="AA47" i="11" s="1"/>
  <c r="K21" i="30"/>
  <c r="AA43" i="11" s="1"/>
  <c r="K24" i="30"/>
  <c r="AA46" i="11" s="1"/>
  <c r="K19" i="30"/>
  <c r="AA41" i="11" s="1"/>
  <c r="K11" i="30"/>
  <c r="AA33" i="11" s="1"/>
  <c r="J21" i="30"/>
  <c r="Z43" i="11" s="1"/>
  <c r="J24" i="30"/>
  <c r="Z46" i="11" s="1"/>
  <c r="J25" i="30"/>
  <c r="Z47" i="11" s="1"/>
  <c r="J22" i="30"/>
  <c r="Z44" i="11" s="1"/>
  <c r="J23" i="30"/>
  <c r="Z45" i="11" s="1"/>
  <c r="J19" i="30"/>
  <c r="Z41" i="11" s="1"/>
  <c r="J20" i="30"/>
  <c r="Z42" i="11" s="1"/>
  <c r="AM19" i="11"/>
  <c r="AM18" i="11"/>
  <c r="BT14" i="30"/>
  <c r="AA8" i="31"/>
  <c r="AA10" i="31" s="1"/>
  <c r="AA4" i="31"/>
  <c r="Z8" i="31"/>
  <c r="Z10" i="31" s="1"/>
  <c r="Z4" i="31"/>
  <c r="N8" i="31"/>
  <c r="N10" i="31" s="1"/>
  <c r="N4" i="31"/>
  <c r="AB8" i="31"/>
  <c r="AB10" i="31" s="1"/>
  <c r="AB4" i="31"/>
  <c r="AC8" i="31"/>
  <c r="AC10" i="31" s="1"/>
  <c r="AC4" i="31"/>
  <c r="M8" i="31"/>
  <c r="M10" i="31" s="1"/>
  <c r="M4" i="31"/>
  <c r="AD8" i="31"/>
  <c r="AD4" i="31"/>
  <c r="K8" i="31"/>
  <c r="K10" i="31" s="1"/>
  <c r="K4" i="31"/>
  <c r="P8" i="31"/>
  <c r="P10" i="31" s="1"/>
  <c r="P4" i="31"/>
  <c r="S8" i="31"/>
  <c r="S10" i="31" s="1"/>
  <c r="S4" i="31"/>
  <c r="C8" i="31"/>
  <c r="C10" i="31" s="1"/>
  <c r="C4" i="31"/>
  <c r="H8" i="31"/>
  <c r="H10" i="31" s="1"/>
  <c r="H4" i="31"/>
  <c r="I8" i="31"/>
  <c r="I10" i="31" s="1"/>
  <c r="I4" i="31"/>
  <c r="AE8" i="31"/>
  <c r="AE10" i="31" s="1"/>
  <c r="AE4" i="31"/>
  <c r="O8" i="31"/>
  <c r="O10" i="31" s="1"/>
  <c r="O4" i="31"/>
  <c r="AF8" i="31"/>
  <c r="AF10" i="31" s="1"/>
  <c r="AF4" i="31"/>
  <c r="R8" i="31"/>
  <c r="R10" i="31" s="1"/>
  <c r="R4" i="31"/>
  <c r="Q8" i="31"/>
  <c r="Q10" i="31" s="1"/>
  <c r="Q4" i="31"/>
  <c r="T8" i="31"/>
  <c r="T10" i="31" s="1"/>
  <c r="T4" i="31"/>
  <c r="Y8" i="31"/>
  <c r="Y10" i="31" s="1"/>
  <c r="Y4" i="31"/>
  <c r="X8" i="31"/>
  <c r="X10" i="31" s="1"/>
  <c r="X4" i="31"/>
  <c r="D4" i="31"/>
  <c r="D8" i="31"/>
  <c r="D10" i="31" s="1"/>
  <c r="J8" i="31"/>
  <c r="J10" i="31" s="1"/>
  <c r="J4" i="31"/>
  <c r="L8" i="31"/>
  <c r="L10" i="31" s="1"/>
  <c r="L4" i="31"/>
  <c r="V8" i="31"/>
  <c r="V10" i="31" s="1"/>
  <c r="V4" i="31"/>
  <c r="U10" i="31"/>
  <c r="B8" i="31"/>
  <c r="U4" i="31"/>
  <c r="J6" i="30"/>
  <c r="Z27" i="11" s="1"/>
  <c r="J5" i="30"/>
  <c r="Z26" i="11" s="1"/>
  <c r="J4" i="30"/>
  <c r="Z25" i="11" s="1"/>
  <c r="Y33" i="11"/>
  <c r="J2" i="20"/>
  <c r="BT29" i="30"/>
  <c r="AF51" i="11" s="1"/>
  <c r="BT30" i="30"/>
  <c r="AF52" i="11" s="1"/>
  <c r="L2" i="20" l="1"/>
  <c r="AZ17" i="11"/>
  <c r="AY22" i="11"/>
  <c r="AS22" i="11"/>
  <c r="AT21" i="11"/>
  <c r="E2" i="20"/>
  <c r="K14" i="30"/>
  <c r="K29" i="30"/>
  <c r="AA51" i="11" s="1"/>
  <c r="K30" i="30"/>
  <c r="AA52" i="11" s="1"/>
  <c r="N2" i="20"/>
  <c r="AC18" i="11"/>
  <c r="AC21" i="11" s="1"/>
  <c r="K2" i="20"/>
  <c r="M2" i="20" s="1"/>
  <c r="AA18" i="11"/>
  <c r="AA21" i="11" s="1"/>
  <c r="AA36" i="11"/>
  <c r="J30" i="30"/>
  <c r="Z52" i="11" s="1"/>
  <c r="J29" i="30"/>
  <c r="Z51" i="11" s="1"/>
  <c r="AM21" i="11"/>
  <c r="BA17" i="11" l="1"/>
  <c r="AZ22" i="11"/>
  <c r="AT22" i="11"/>
  <c r="AU21" i="11"/>
  <c r="AU22" i="11" s="1"/>
  <c r="BI48" i="11"/>
  <c r="BA22" i="11" l="1"/>
  <c r="BB17" i="11"/>
  <c r="BL25" i="11"/>
  <c r="BL26" i="11"/>
  <c r="BL27" i="11"/>
  <c r="BL29" i="11"/>
  <c r="BL31" i="11"/>
  <c r="BL33" i="11"/>
  <c r="BL34" i="11"/>
  <c r="BL35" i="11"/>
  <c r="BB22" i="11" l="1"/>
  <c r="BC17" i="11"/>
  <c r="BL32" i="11"/>
  <c r="BJ25" i="11"/>
  <c r="BJ26" i="11"/>
  <c r="BJ27" i="11"/>
  <c r="BL14" i="11" l="1"/>
  <c r="BL15" i="11" s="1"/>
  <c r="BC22" i="11"/>
  <c r="BD17" i="11"/>
  <c r="H4" i="30"/>
  <c r="G4" i="30"/>
  <c r="F4" i="30"/>
  <c r="BD22" i="11" l="1"/>
  <c r="BE17" i="11"/>
  <c r="AP14" i="30"/>
  <c r="AP10" i="30"/>
  <c r="BE22" i="11" l="1"/>
  <c r="BF17" i="11"/>
  <c r="AP31" i="30"/>
  <c r="AO10" i="30"/>
  <c r="AO14" i="30"/>
  <c r="AO31" i="30" s="1"/>
  <c r="BF22" i="11" l="1"/>
  <c r="BG17" i="11"/>
  <c r="Y25" i="11"/>
  <c r="BH17" i="11" l="1"/>
  <c r="BH22" i="11" s="1"/>
  <c r="BG22" i="11"/>
  <c r="Y50" i="11"/>
  <c r="AB19" i="11"/>
  <c r="Y49" i="11" l="1"/>
  <c r="Y48" i="11"/>
  <c r="Y44" i="11"/>
  <c r="Y47" i="11"/>
  <c r="Y35" i="11"/>
  <c r="Y20" i="11" s="1"/>
  <c r="Y26" i="11"/>
  <c r="Y27" i="11"/>
  <c r="Y34" i="11"/>
  <c r="Y19" i="11" s="1"/>
  <c r="Y46" i="11"/>
  <c r="Y42" i="11"/>
  <c r="Y45" i="11"/>
  <c r="Y41" i="11"/>
  <c r="Y43" i="11"/>
  <c r="Y18" i="11"/>
  <c r="AB20" i="11"/>
  <c r="AB18" i="11"/>
  <c r="Y21" i="11" l="1"/>
  <c r="Y36" i="11"/>
  <c r="AB21" i="11"/>
  <c r="AN14" i="30"/>
  <c r="AN10" i="30"/>
  <c r="AN31" i="30" l="1"/>
  <c r="AM10" i="30"/>
  <c r="AM31" i="30" s="1"/>
  <c r="H5" i="30" l="1"/>
  <c r="AQ10" i="30" l="1"/>
  <c r="AQ31" i="30" s="1"/>
  <c r="AL14" i="30"/>
  <c r="AL10" i="30"/>
  <c r="AL31" i="30" l="1"/>
  <c r="X25" i="11"/>
  <c r="BO25" i="11" l="1"/>
  <c r="BP25" i="11"/>
  <c r="BR25" i="11"/>
  <c r="BK26" i="11"/>
  <c r="BM26" i="11"/>
  <c r="BN26" i="11"/>
  <c r="BO26" i="11"/>
  <c r="BP26" i="11"/>
  <c r="BQ26" i="11"/>
  <c r="BR26" i="11"/>
  <c r="BK27" i="11"/>
  <c r="BM27" i="11"/>
  <c r="BN27" i="11"/>
  <c r="BO27" i="11"/>
  <c r="BP27" i="11"/>
  <c r="BQ27" i="11"/>
  <c r="BR27" i="11"/>
  <c r="BJ29" i="11"/>
  <c r="BK29" i="11"/>
  <c r="BN29" i="11"/>
  <c r="BO29" i="11"/>
  <c r="BQ29" i="11"/>
  <c r="BR29" i="11"/>
  <c r="BJ30" i="11"/>
  <c r="BK30" i="11"/>
  <c r="BK11" i="11" s="1"/>
  <c r="BK12" i="11" s="1"/>
  <c r="BQ30" i="11"/>
  <c r="BR30" i="11"/>
  <c r="BJ31" i="11"/>
  <c r="BK31" i="11"/>
  <c r="BM31" i="11"/>
  <c r="BN31" i="11"/>
  <c r="BO31" i="11"/>
  <c r="BQ31" i="11"/>
  <c r="BR31" i="11"/>
  <c r="BJ33" i="11"/>
  <c r="BK33" i="11"/>
  <c r="BM33" i="11"/>
  <c r="BM37" i="11" s="1"/>
  <c r="BN33" i="11"/>
  <c r="BO33" i="11"/>
  <c r="BP33" i="11"/>
  <c r="BQ33" i="11"/>
  <c r="BR33" i="11"/>
  <c r="BJ34" i="11"/>
  <c r="BK34" i="11"/>
  <c r="BM34" i="11"/>
  <c r="BN34" i="11"/>
  <c r="BO34" i="11"/>
  <c r="BP34" i="11"/>
  <c r="BQ34" i="11"/>
  <c r="BR34" i="11"/>
  <c r="BJ35" i="11"/>
  <c r="BK35" i="11"/>
  <c r="BM35" i="11"/>
  <c r="BN35" i="11"/>
  <c r="BO35" i="11"/>
  <c r="BP35" i="11"/>
  <c r="BQ35" i="11"/>
  <c r="BR35" i="11"/>
  <c r="BJ41" i="11"/>
  <c r="BK41" i="11"/>
  <c r="BL41" i="11"/>
  <c r="BM41" i="11"/>
  <c r="BN41" i="11"/>
  <c r="BO41" i="11"/>
  <c r="BP41" i="11"/>
  <c r="BQ41" i="11"/>
  <c r="BR41" i="11"/>
  <c r="BJ42" i="11"/>
  <c r="BK42" i="11"/>
  <c r="BL42" i="11"/>
  <c r="BM42" i="11"/>
  <c r="BN42" i="11"/>
  <c r="BO42" i="11"/>
  <c r="BP42" i="11"/>
  <c r="BQ42" i="11"/>
  <c r="BR42" i="11"/>
  <c r="BJ43" i="11"/>
  <c r="BK43" i="11"/>
  <c r="BL43" i="11"/>
  <c r="BM43" i="11"/>
  <c r="BN43" i="11"/>
  <c r="BO43" i="11"/>
  <c r="BP43" i="11"/>
  <c r="BQ43" i="11"/>
  <c r="BR43" i="11"/>
  <c r="BJ44" i="11"/>
  <c r="BK44" i="11"/>
  <c r="BL44" i="11"/>
  <c r="BM44" i="11"/>
  <c r="BN44" i="11"/>
  <c r="BO44" i="11"/>
  <c r="BP44" i="11"/>
  <c r="BQ44" i="11"/>
  <c r="BR44" i="11"/>
  <c r="BJ45" i="11"/>
  <c r="BK45" i="11"/>
  <c r="BL45" i="11"/>
  <c r="BM45" i="11"/>
  <c r="BN45" i="11"/>
  <c r="BO45" i="11"/>
  <c r="BP45" i="11"/>
  <c r="BQ45" i="11"/>
  <c r="BR45" i="11"/>
  <c r="BJ46" i="11"/>
  <c r="BK46" i="11"/>
  <c r="BL46" i="11"/>
  <c r="BM46" i="11"/>
  <c r="BN46" i="11"/>
  <c r="BO46" i="11"/>
  <c r="BP46" i="11"/>
  <c r="BQ46" i="11"/>
  <c r="BR46" i="11"/>
  <c r="BJ47" i="11"/>
  <c r="BK47" i="11"/>
  <c r="BL47" i="11"/>
  <c r="BM47" i="11"/>
  <c r="BN47" i="11"/>
  <c r="BO47" i="11"/>
  <c r="BP47" i="11"/>
  <c r="BQ47" i="11"/>
  <c r="BR47" i="11"/>
  <c r="BJ48" i="11"/>
  <c r="BK48" i="11"/>
  <c r="BL48" i="11"/>
  <c r="BM48" i="11"/>
  <c r="BN48" i="11"/>
  <c r="BO48" i="11"/>
  <c r="BP48" i="11"/>
  <c r="BQ48" i="11"/>
  <c r="BR48" i="11"/>
  <c r="BJ49" i="11"/>
  <c r="BK49" i="11"/>
  <c r="BL49" i="11"/>
  <c r="BM49" i="11"/>
  <c r="BN49" i="11"/>
  <c r="BO49" i="11"/>
  <c r="BP49" i="11"/>
  <c r="BQ49" i="11"/>
  <c r="BR49" i="11"/>
  <c r="BJ50" i="11"/>
  <c r="BK50" i="11"/>
  <c r="BL50" i="11"/>
  <c r="BM50" i="11"/>
  <c r="BN50" i="11"/>
  <c r="BO50" i="11"/>
  <c r="BP50" i="11"/>
  <c r="BQ50" i="11"/>
  <c r="BR50" i="11"/>
  <c r="BM32" i="11" l="1"/>
  <c r="BM14" i="11" s="1"/>
  <c r="BM15" i="11" s="1"/>
  <c r="BN32" i="11"/>
  <c r="BQ37" i="11"/>
  <c r="BO38" i="11"/>
  <c r="BJ32" i="11"/>
  <c r="BN38" i="11"/>
  <c r="BR32" i="11"/>
  <c r="BQ32" i="11"/>
  <c r="BK39" i="11"/>
  <c r="BO36" i="11"/>
  <c r="BN36" i="11"/>
  <c r="BN39" i="11"/>
  <c r="BR38" i="11"/>
  <c r="BR36" i="11"/>
  <c r="BQ39" i="11"/>
  <c r="BL39" i="11"/>
  <c r="BQ36" i="11"/>
  <c r="BR39" i="11"/>
  <c r="BP36" i="11"/>
  <c r="BO37" i="11"/>
  <c r="BO32" i="11"/>
  <c r="BO39" i="11"/>
  <c r="BN37" i="11"/>
  <c r="BK37" i="11"/>
  <c r="BM39" i="11"/>
  <c r="BM36" i="11"/>
  <c r="BJ38" i="11"/>
  <c r="BL36" i="11"/>
  <c r="BL38" i="11"/>
  <c r="BK32" i="11"/>
  <c r="BK14" i="11" s="1"/>
  <c r="BK15" i="11" s="1"/>
  <c r="BK36" i="11"/>
  <c r="BJ36" i="11"/>
  <c r="BJ39" i="11"/>
  <c r="BK38" i="11"/>
  <c r="BL37" i="11"/>
  <c r="BM38" i="11"/>
  <c r="BQ38" i="11"/>
  <c r="BR37" i="11"/>
  <c r="BJ37" i="11"/>
  <c r="BQ40" i="11" l="1"/>
  <c r="BO40" i="11"/>
  <c r="BN40" i="11"/>
  <c r="BK40" i="11"/>
  <c r="BM40" i="11"/>
  <c r="BR40" i="11"/>
  <c r="BJ40" i="11"/>
  <c r="BL40" i="11"/>
  <c r="AJ10" i="30" l="1"/>
  <c r="AJ14" i="30"/>
  <c r="AJ31" i="30" s="1"/>
  <c r="BI25" i="11" l="1"/>
  <c r="BI26" i="11"/>
  <c r="BI27" i="11"/>
  <c r="BI29" i="11"/>
  <c r="BI30" i="11"/>
  <c r="BI11" i="11" s="1"/>
  <c r="BI12" i="11" s="1"/>
  <c r="BI31" i="11"/>
  <c r="BI33" i="11"/>
  <c r="BI34" i="11"/>
  <c r="BI35" i="11"/>
  <c r="BI32" i="11" l="1"/>
  <c r="BI38" i="11"/>
  <c r="BI39" i="11"/>
  <c r="BI36" i="11"/>
  <c r="BI37" i="11"/>
  <c r="BI14" i="11" l="1"/>
  <c r="BI15" i="11" s="1"/>
  <c r="BI17" i="11"/>
  <c r="BI40" i="11"/>
  <c r="BI22" i="11" l="1"/>
  <c r="BJ17" i="11"/>
  <c r="BI41" i="11"/>
  <c r="BI42" i="11"/>
  <c r="BI43" i="11"/>
  <c r="BI44" i="11"/>
  <c r="BI45" i="11"/>
  <c r="BI46" i="11"/>
  <c r="BI47" i="11"/>
  <c r="BI49" i="11"/>
  <c r="BI50" i="11"/>
  <c r="BK17" i="11" l="1"/>
  <c r="BJ22" i="11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AD15" i="30"/>
  <c r="AE15" i="30"/>
  <c r="AF15" i="30"/>
  <c r="AG15" i="30"/>
  <c r="AH15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AD16" i="30"/>
  <c r="AE16" i="30"/>
  <c r="AF16" i="30"/>
  <c r="AG16" i="30"/>
  <c r="AH16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AD17" i="30"/>
  <c r="AE17" i="30"/>
  <c r="AF17" i="30"/>
  <c r="AG17" i="30"/>
  <c r="AH17" i="30"/>
  <c r="BK22" i="11" l="1"/>
  <c r="BL17" i="11"/>
  <c r="T18" i="30"/>
  <c r="AC18" i="30"/>
  <c r="U18" i="30"/>
  <c r="M18" i="30"/>
  <c r="AB18" i="30"/>
  <c r="L18" i="30"/>
  <c r="N18" i="30"/>
  <c r="AD18" i="30"/>
  <c r="AA18" i="30"/>
  <c r="S18" i="30"/>
  <c r="AH18" i="30"/>
  <c r="Z18" i="30"/>
  <c r="R18" i="30"/>
  <c r="V18" i="30"/>
  <c r="X18" i="30"/>
  <c r="P18" i="30"/>
  <c r="AG18" i="30"/>
  <c r="Y18" i="30"/>
  <c r="Q18" i="30"/>
  <c r="AF18" i="30"/>
  <c r="AE18" i="30"/>
  <c r="W18" i="30"/>
  <c r="O18" i="30"/>
  <c r="BL22" i="11" l="1"/>
  <c r="BM17" i="11"/>
  <c r="AF14" i="30"/>
  <c r="AG14" i="30"/>
  <c r="AF10" i="30"/>
  <c r="AG10" i="30"/>
  <c r="BM22" i="11" l="1"/>
  <c r="BN17" i="11"/>
  <c r="AG31" i="30"/>
  <c r="AF31" i="30"/>
  <c r="F5" i="30"/>
  <c r="V26" i="11" s="1"/>
  <c r="G5" i="30"/>
  <c r="W26" i="11" s="1"/>
  <c r="F6" i="30"/>
  <c r="V27" i="11" s="1"/>
  <c r="G6" i="30"/>
  <c r="W27" i="11" s="1"/>
  <c r="F7" i="30"/>
  <c r="V29" i="11" s="1"/>
  <c r="G7" i="30"/>
  <c r="W29" i="11" s="1"/>
  <c r="F8" i="30"/>
  <c r="V30" i="11" s="1"/>
  <c r="G8" i="30"/>
  <c r="W30" i="11" s="1"/>
  <c r="F9" i="30"/>
  <c r="V31" i="11" s="1"/>
  <c r="G9" i="30"/>
  <c r="W31" i="11" s="1"/>
  <c r="F11" i="30"/>
  <c r="G11" i="30"/>
  <c r="F12" i="30"/>
  <c r="G12" i="30"/>
  <c r="F13" i="30"/>
  <c r="G13" i="30"/>
  <c r="F19" i="30"/>
  <c r="V41" i="11" s="1"/>
  <c r="G19" i="30"/>
  <c r="W41" i="11" s="1"/>
  <c r="F20" i="30"/>
  <c r="V42" i="11" s="1"/>
  <c r="G20" i="30"/>
  <c r="W42" i="11" s="1"/>
  <c r="F21" i="30"/>
  <c r="V43" i="11" s="1"/>
  <c r="G21" i="30"/>
  <c r="W43" i="11" s="1"/>
  <c r="F22" i="30"/>
  <c r="V44" i="11" s="1"/>
  <c r="G22" i="30"/>
  <c r="W44" i="11" s="1"/>
  <c r="F23" i="30"/>
  <c r="V45" i="11" s="1"/>
  <c r="G23" i="30"/>
  <c r="W45" i="11" s="1"/>
  <c r="F24" i="30"/>
  <c r="V46" i="11" s="1"/>
  <c r="G24" i="30"/>
  <c r="W46" i="11" s="1"/>
  <c r="F25" i="30"/>
  <c r="V47" i="11" s="1"/>
  <c r="G25" i="30"/>
  <c r="W47" i="11" s="1"/>
  <c r="F26" i="30"/>
  <c r="V48" i="11" s="1"/>
  <c r="G26" i="30"/>
  <c r="W48" i="11" s="1"/>
  <c r="F27" i="30"/>
  <c r="V49" i="11" s="1"/>
  <c r="G27" i="30"/>
  <c r="W49" i="11" s="1"/>
  <c r="F28" i="30"/>
  <c r="V50" i="11" s="1"/>
  <c r="G28" i="30"/>
  <c r="W50" i="11" s="1"/>
  <c r="W25" i="11"/>
  <c r="V25" i="11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AD29" i="30"/>
  <c r="AE29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AD30" i="30"/>
  <c r="AE30" i="30"/>
  <c r="L30" i="30"/>
  <c r="L29" i="30"/>
  <c r="BO17" i="11" l="1"/>
  <c r="BO22" i="11" s="1"/>
  <c r="BN22" i="11"/>
  <c r="W32" i="11"/>
  <c r="W35" i="11"/>
  <c r="G17" i="30"/>
  <c r="W39" i="11" s="1"/>
  <c r="V35" i="11"/>
  <c r="F17" i="30"/>
  <c r="V39" i="11" s="1"/>
  <c r="W34" i="11"/>
  <c r="G16" i="30"/>
  <c r="W38" i="11" s="1"/>
  <c r="V34" i="11"/>
  <c r="F16" i="30"/>
  <c r="V38" i="11" s="1"/>
  <c r="W33" i="11"/>
  <c r="G15" i="30"/>
  <c r="V33" i="11"/>
  <c r="F15" i="30"/>
  <c r="V32" i="11"/>
  <c r="F29" i="30"/>
  <c r="V51" i="11" s="1"/>
  <c r="G29" i="30"/>
  <c r="W51" i="11" s="1"/>
  <c r="F30" i="30"/>
  <c r="V52" i="11" s="1"/>
  <c r="G30" i="30"/>
  <c r="W52" i="11" s="1"/>
  <c r="F18" i="30" l="1"/>
  <c r="V37" i="11"/>
  <c r="V36" i="11"/>
  <c r="G18" i="30"/>
  <c r="W37" i="11"/>
  <c r="W40" i="11" s="1"/>
  <c r="W36" i="11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AD14" i="30"/>
  <c r="AE14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L14" i="30"/>
  <c r="L10" i="30"/>
  <c r="AQ17" i="30"/>
  <c r="AQ16" i="30"/>
  <c r="AQ15" i="30"/>
  <c r="T31" i="30" l="1"/>
  <c r="U31" i="30"/>
  <c r="V31" i="30"/>
  <c r="S31" i="30"/>
  <c r="Q31" i="30"/>
  <c r="AC31" i="30"/>
  <c r="R31" i="30"/>
  <c r="AE31" i="30"/>
  <c r="N31" i="30"/>
  <c r="M31" i="30"/>
  <c r="Y31" i="30"/>
  <c r="X31" i="30"/>
  <c r="L31" i="30"/>
  <c r="P31" i="30"/>
  <c r="O31" i="30"/>
  <c r="AD31" i="30"/>
  <c r="AB31" i="30"/>
  <c r="AA31" i="30"/>
  <c r="Z31" i="30"/>
  <c r="W31" i="30"/>
  <c r="F14" i="30"/>
  <c r="G10" i="30"/>
  <c r="AQ18" i="30"/>
  <c r="F10" i="30"/>
  <c r="G14" i="30"/>
  <c r="G31" i="30" l="1"/>
  <c r="F31" i="30"/>
  <c r="BR52" i="11"/>
  <c r="BQ52" i="11"/>
  <c r="BP52" i="11"/>
  <c r="BO52" i="11"/>
  <c r="BN52" i="11"/>
  <c r="BM52" i="11"/>
  <c r="BL52" i="11"/>
  <c r="BK52" i="11"/>
  <c r="BJ52" i="11"/>
  <c r="BI52" i="11"/>
  <c r="BR51" i="11"/>
  <c r="BQ51" i="11"/>
  <c r="BP51" i="11"/>
  <c r="BO51" i="11"/>
  <c r="BN51" i="11"/>
  <c r="BM51" i="11"/>
  <c r="BL51" i="11"/>
  <c r="BK51" i="11"/>
  <c r="BJ51" i="11"/>
  <c r="BI51" i="11"/>
  <c r="H11" i="30" l="1"/>
  <c r="X33" i="11" s="1"/>
  <c r="AI14" i="30"/>
  <c r="AI16" i="30"/>
  <c r="AI17" i="30"/>
  <c r="AI15" i="30"/>
  <c r="AI10" i="30"/>
  <c r="AI31" i="30" l="1"/>
  <c r="H8" i="30"/>
  <c r="X30" i="11" s="1"/>
  <c r="H24" i="30"/>
  <c r="X46" i="11" s="1"/>
  <c r="H27" i="30"/>
  <c r="X49" i="11" s="1"/>
  <c r="H28" i="30"/>
  <c r="X50" i="11" s="1"/>
  <c r="H21" i="30"/>
  <c r="X43" i="11" s="1"/>
  <c r="H26" i="30"/>
  <c r="X48" i="11" s="1"/>
  <c r="H25" i="30"/>
  <c r="X47" i="11" s="1"/>
  <c r="X18" i="11"/>
  <c r="AK14" i="30"/>
  <c r="H7" i="30"/>
  <c r="X29" i="11" s="1"/>
  <c r="AK10" i="30"/>
  <c r="H10" i="30" s="1"/>
  <c r="H9" i="30"/>
  <c r="X31" i="11" s="1"/>
  <c r="H23" i="30"/>
  <c r="X45" i="11" s="1"/>
  <c r="H6" i="30"/>
  <c r="X27" i="11" s="1"/>
  <c r="H13" i="30"/>
  <c r="X35" i="11" s="1"/>
  <c r="X20" i="11" s="1"/>
  <c r="X26" i="11"/>
  <c r="H19" i="30"/>
  <c r="X41" i="11" s="1"/>
  <c r="H22" i="30"/>
  <c r="X44" i="11" s="1"/>
  <c r="H20" i="30"/>
  <c r="X42" i="11" s="1"/>
  <c r="H12" i="30"/>
  <c r="AI18" i="30"/>
  <c r="H14" i="30" l="1"/>
  <c r="H31" i="30" s="1"/>
  <c r="AK31" i="30"/>
  <c r="X32" i="11"/>
  <c r="X17" i="11" s="1"/>
  <c r="Y52" i="11"/>
  <c r="Y51" i="11"/>
  <c r="H15" i="30"/>
  <c r="X37" i="11" s="1"/>
  <c r="H16" i="30"/>
  <c r="X38" i="11" s="1"/>
  <c r="X34" i="11"/>
  <c r="H17" i="30"/>
  <c r="H29" i="30"/>
  <c r="X51" i="11" s="1"/>
  <c r="H30" i="30"/>
  <c r="X52" i="11" s="1"/>
  <c r="X36" i="11" l="1"/>
  <c r="X12" i="11"/>
  <c r="X19" i="11"/>
  <c r="X21" i="11" s="1"/>
  <c r="X22" i="11" s="1"/>
  <c r="H18" i="30"/>
  <c r="X39" i="11"/>
  <c r="X40" i="11" s="1"/>
  <c r="X15" i="11" l="1"/>
  <c r="V20" i="11" l="1"/>
  <c r="W20" i="11" l="1"/>
  <c r="W18" i="11" l="1"/>
  <c r="V18" i="11"/>
  <c r="W12" i="11" l="1"/>
  <c r="V19" i="11"/>
  <c r="V21" i="11" s="1"/>
  <c r="W17" i="11"/>
  <c r="W19" i="11"/>
  <c r="W21" i="11" s="1"/>
  <c r="V17" i="11"/>
  <c r="V12" i="11"/>
  <c r="V40" i="11" l="1"/>
  <c r="W22" i="11"/>
  <c r="W15" i="11"/>
  <c r="V15" i="11"/>
  <c r="V22" i="11"/>
  <c r="AH15" i="29" l="1"/>
  <c r="F15" i="29" s="1"/>
  <c r="BT15" i="30" s="1"/>
  <c r="AF37" i="11" s="1"/>
  <c r="BP29" i="11"/>
  <c r="BP37" i="11" s="1"/>
  <c r="BP31" i="11"/>
  <c r="AH16" i="29"/>
  <c r="F16" i="29" s="1"/>
  <c r="BT16" i="30" s="1"/>
  <c r="AF38" i="11" s="1"/>
  <c r="F8" i="29"/>
  <c r="AH17" i="29"/>
  <c r="F17" i="29" s="1"/>
  <c r="BT17" i="30" s="1"/>
  <c r="AF39" i="11" s="1"/>
  <c r="F9" i="29"/>
  <c r="BT9" i="30" s="1"/>
  <c r="AH10" i="29"/>
  <c r="F7" i="29"/>
  <c r="AE10" i="11" l="1"/>
  <c r="AF31" i="11"/>
  <c r="AF10" i="11" s="1"/>
  <c r="AF40" i="11"/>
  <c r="K9" i="30"/>
  <c r="AA31" i="11" s="1"/>
  <c r="AC10" i="11"/>
  <c r="K16" i="30"/>
  <c r="AA38" i="11" s="1"/>
  <c r="K17" i="30"/>
  <c r="AA39" i="11" s="1"/>
  <c r="K15" i="30"/>
  <c r="AA37" i="11" s="1"/>
  <c r="J15" i="30"/>
  <c r="Z37" i="11" s="1"/>
  <c r="J16" i="30"/>
  <c r="Z38" i="11" s="1"/>
  <c r="AM10" i="11"/>
  <c r="J17" i="30"/>
  <c r="Z39" i="11" s="1"/>
  <c r="AN29" i="29"/>
  <c r="AD7" i="31"/>
  <c r="AD10" i="31" s="1"/>
  <c r="AB10" i="11"/>
  <c r="Y39" i="11"/>
  <c r="Y38" i="11"/>
  <c r="Y31" i="11"/>
  <c r="Y37" i="11"/>
  <c r="F10" i="29"/>
  <c r="B7" i="31" s="1"/>
  <c r="BP32" i="11"/>
  <c r="BP38" i="11"/>
  <c r="BP40" i="11" s="1"/>
  <c r="BT7" i="30"/>
  <c r="AF29" i="11" s="1"/>
  <c r="BT8" i="30"/>
  <c r="AH18" i="29"/>
  <c r="F18" i="29" s="1"/>
  <c r="BT18" i="30" s="1"/>
  <c r="K18" i="30" s="1"/>
  <c r="BP39" i="11"/>
  <c r="BP14" i="11" l="1"/>
  <c r="BP15" i="11" s="1"/>
  <c r="BP17" i="11"/>
  <c r="J5" i="20"/>
  <c r="J6" i="20" s="1"/>
  <c r="B10" i="31"/>
  <c r="AE11" i="11"/>
  <c r="AE12" i="11" s="1"/>
  <c r="AF30" i="11"/>
  <c r="AF11" i="11" s="1"/>
  <c r="AF12" i="11" s="1"/>
  <c r="AE17" i="11"/>
  <c r="AE22" i="11" s="1"/>
  <c r="AA10" i="11"/>
  <c r="K7" i="30"/>
  <c r="AA29" i="11" s="1"/>
  <c r="K8" i="30"/>
  <c r="AA30" i="11" s="1"/>
  <c r="AC11" i="11"/>
  <c r="AC12" i="11" s="1"/>
  <c r="AA40" i="11"/>
  <c r="Z40" i="11"/>
  <c r="J18" i="30"/>
  <c r="AB11" i="11"/>
  <c r="AM11" i="11"/>
  <c r="BT10" i="30"/>
  <c r="Y40" i="11"/>
  <c r="Y29" i="11"/>
  <c r="Y30" i="11"/>
  <c r="BP22" i="11" l="1"/>
  <c r="BQ17" i="11"/>
  <c r="BQ22" i="11" s="1"/>
  <c r="AF32" i="11"/>
  <c r="AF17" i="11" s="1"/>
  <c r="AF22" i="11" s="1"/>
  <c r="AE14" i="11"/>
  <c r="AE15" i="11" s="1"/>
  <c r="K10" i="30"/>
  <c r="K31" i="30" s="1"/>
  <c r="AB12" i="11"/>
  <c r="AA11" i="11"/>
  <c r="AA12" i="11" s="1"/>
  <c r="AA32" i="11"/>
  <c r="AA17" i="11" s="1"/>
  <c r="AA22" i="11" s="1"/>
  <c r="Z12" i="11"/>
  <c r="AM12" i="11"/>
  <c r="BT31" i="30"/>
  <c r="AB14" i="11"/>
  <c r="Y32" i="11"/>
  <c r="Y12" i="11"/>
  <c r="AF14" i="11" l="1"/>
  <c r="AF15" i="11" s="1"/>
  <c r="AC17" i="11"/>
  <c r="AC22" i="11" s="1"/>
  <c r="AC14" i="11"/>
  <c r="AC15" i="11" s="1"/>
  <c r="AA14" i="11"/>
  <c r="AA15" i="11" s="1"/>
  <c r="AM17" i="11"/>
  <c r="AM22" i="11" s="1"/>
  <c r="AM14" i="11"/>
  <c r="AM15" i="11" s="1"/>
  <c r="Y17" i="11"/>
  <c r="Y22" i="11" s="1"/>
  <c r="Y14" i="11"/>
  <c r="AB15" i="11"/>
  <c r="AB17" i="11"/>
  <c r="AB22" i="11" s="1"/>
  <c r="Y15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2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tấn tp mất đi  do viêc dừng đứt giấy 
( Tức là quy đổi ra tấn sản lượng )</t>
        </r>
      </text>
    </comment>
  </commentList>
</comments>
</file>

<file path=xl/sharedStrings.xml><?xml version="1.0" encoding="utf-8"?>
<sst xmlns="http://schemas.openxmlformats.org/spreadsheetml/2006/main" count="376" uniqueCount="162">
  <si>
    <t>Tháng 8</t>
  </si>
  <si>
    <t>Ngày</t>
  </si>
  <si>
    <t>Giấy sóng-TT</t>
  </si>
  <si>
    <t>Tấn</t>
  </si>
  <si>
    <t>Giấy mặt-TT</t>
  </si>
  <si>
    <t>KẾ HOẠCH</t>
  </si>
  <si>
    <t xml:space="preserve">Sản lượng KH </t>
  </si>
  <si>
    <t>Giấy sóng-KH</t>
  </si>
  <si>
    <t>Giấy mặt-KH</t>
  </si>
  <si>
    <t>THỰC TẾ</t>
  </si>
  <si>
    <t>SL Thực tế</t>
  </si>
  <si>
    <t xml:space="preserve"> +, -</t>
  </si>
  <si>
    <t xml:space="preserve">Chênh lệch </t>
  </si>
  <si>
    <t>GIẤY SÓNG</t>
  </si>
  <si>
    <t>GIẤY MẶT</t>
  </si>
  <si>
    <t>TỔNG CHÊNH</t>
  </si>
  <si>
    <t xml:space="preserve">Muc tiêu TỶ LỆ  </t>
  </si>
  <si>
    <t>%</t>
  </si>
  <si>
    <t xml:space="preserve">Muc tiêu TỶ LỆ </t>
  </si>
  <si>
    <t>Đánh giá</t>
  </si>
  <si>
    <t>ĐÁNH GIÁ SX GIẤY MẶT</t>
  </si>
  <si>
    <t xml:space="preserve"> -</t>
  </si>
  <si>
    <t>ĐÁNH GIÁ SX TỔNG DÂY CHUYỀN</t>
  </si>
  <si>
    <t>TỔNG-SẢN LƯỢNG LŨY KẾ</t>
  </si>
  <si>
    <t>SL Lũy kế giấy mặt-TT</t>
  </si>
  <si>
    <t>Chênh lũy kế ( + , -)</t>
  </si>
  <si>
    <t>Tổng</t>
  </si>
  <si>
    <t>TỔNG SL KẾ HOẠCH</t>
  </si>
  <si>
    <t>TỔNG SL THƯC TẾ</t>
  </si>
  <si>
    <t>Tổng Số ngày đã SX</t>
  </si>
  <si>
    <t>Tổng Số ngày sx giấy mặt</t>
  </si>
  <si>
    <t xml:space="preserve">Số ngày sản xuất </t>
  </si>
  <si>
    <t>SL Lũy kế Tổng -TT</t>
  </si>
  <si>
    <t>SL Lũy kế giấy sóng-TT</t>
  </si>
  <si>
    <t>TT</t>
  </si>
  <si>
    <t>KH</t>
  </si>
  <si>
    <t>SL Lũy kế Tổng -KH</t>
  </si>
  <si>
    <t>Tháng 5</t>
  </si>
  <si>
    <t>Tháng 6</t>
  </si>
  <si>
    <t>Tháng 7</t>
  </si>
  <si>
    <t>Tháng 9</t>
  </si>
  <si>
    <t>Tháng 10</t>
  </si>
  <si>
    <t>Tháng 11</t>
  </si>
  <si>
    <t>Tháng 12</t>
  </si>
  <si>
    <t>Tháng 1</t>
  </si>
  <si>
    <t>Tháng 2</t>
  </si>
  <si>
    <t>Tháng 3</t>
  </si>
  <si>
    <t>Tháng 4</t>
  </si>
  <si>
    <t>Dừng bất thường</t>
  </si>
  <si>
    <t>Dừng bất thường đứt giấy</t>
  </si>
  <si>
    <t>Lần</t>
  </si>
  <si>
    <t xml:space="preserve">Dừng bất thường khác </t>
  </si>
  <si>
    <t>Dừng kế hoạch</t>
  </si>
  <si>
    <t>Giảm tốc độ so với kế hoạch</t>
  </si>
  <si>
    <t>Khác</t>
  </si>
  <si>
    <t xml:space="preserve">Các hang mục liên quan đến </t>
  </si>
  <si>
    <t>Hủy hàng do lỗi chất lượng</t>
  </si>
  <si>
    <t>Sự cố chất lượng</t>
  </si>
  <si>
    <t>TỔNG ẢNH HƯỞNG</t>
  </si>
  <si>
    <t>Tấn tp</t>
  </si>
  <si>
    <t xml:space="preserve">SẢN LƯỢNG , TỶ LỆ ĐẠT  KẾ HOẠCH- THƯC TẾ </t>
  </si>
  <si>
    <t>TỶ LỆ ĐẠT SẢN LƯỢNG MỤC TIÊU</t>
  </si>
  <si>
    <t>Tỷ lệ đạt THƯC TẾ -TOTAL</t>
  </si>
  <si>
    <t>PM3</t>
  </si>
  <si>
    <t>Các sự kiện lớn ảnh hưởng</t>
  </si>
  <si>
    <t>CÁC ĐỐI SÁCH TRỌNG ĐIỂM ĐÃ THƯC HIỆN</t>
  </si>
  <si>
    <t>Tỷ lệ đạt  THỰC TẾ -GIẤY MẶT</t>
  </si>
  <si>
    <t>Dừng kế hoạch NHƯNG LÀ KH PHÁT SINH</t>
  </si>
  <si>
    <t>1. THEO CÁC HANG MỤC VỚI SỐ LẦN PHÁT SINH</t>
  </si>
  <si>
    <t xml:space="preserve">2.THEO CÁC HANG MỤC THEO SỐ TẤN  THÀNH PHẨM </t>
  </si>
  <si>
    <t>III.ĐỐI SÁCH TIẾP THEO</t>
  </si>
  <si>
    <t>IV. ĐÁNH GIÁ CÁC ĐỐI SÁCH ĐÃ THỰC HIỆN</t>
  </si>
  <si>
    <t>CÁC YẾU TỐ ẢNH HƯỞNG ĐẾN TỶ LỆ ĐẠT KH</t>
  </si>
  <si>
    <t xml:space="preserve">lưu ý : chỉ nhập các ô trắng </t>
  </si>
  <si>
    <t xml:space="preserve">DATA CẦN NHẬP HÀNG THÁNG </t>
  </si>
  <si>
    <t>TOTAL</t>
  </si>
  <si>
    <t xml:space="preserve">2. Bổ xung đối sách  đối với trọng điểm giảm và ngăn ngừa đứt giấy </t>
  </si>
  <si>
    <t xml:space="preserve">LINE </t>
  </si>
  <si>
    <t>II.TỔNG HƠP YẾU TỐ ẢNH HƯỞNG ĐẾN TỶ LỆ ĐẠT KẾ HOẠCH</t>
  </si>
  <si>
    <t>I.TÌNH HÌNH THỰC TẾ SẢN LƯỢNG&amp; TỶ LỆ ĐẠT KẾ HOẠCH THÁNG/ NĂM</t>
  </si>
  <si>
    <t>3.Thiêt lâp đầy đủ và chính xác cách tính sản lượng kế hoạch ( Đầy đủ mọi trường hợp, đầy đủ và chính xác)</t>
  </si>
  <si>
    <t>4.Thiết lập kế hoạch và thực hiện dừng máy kiểm tra vệ sinh bảo dưỡng theo tuần,tháng,năm.</t>
  </si>
  <si>
    <t>5.Triển khai lập kế hoạch sản xuất bù âm  sản lượng.</t>
  </si>
  <si>
    <t>OK</t>
  </si>
  <si>
    <t>1.Duy trì các dối sách trọng điểm đã thực hiện</t>
  </si>
  <si>
    <t>2.Hoàn thiện kế hoạch bảo dưỡng thiết bị cấp độ A, B</t>
  </si>
  <si>
    <t>3.Tổng hợp các lỗi gây dừng bất thường và đối sách kèm theo</t>
  </si>
  <si>
    <t>4.Xây dựng quy trình kiểm tra đánh giá trước khi chạy lại máy</t>
  </si>
  <si>
    <t>`</t>
  </si>
  <si>
    <t xml:space="preserve"> </t>
  </si>
  <si>
    <t xml:space="preserve">Các hạng mục liên quan đến </t>
  </si>
  <si>
    <t>SẢN LƯƠNG KH NGẤN SÁCH</t>
  </si>
  <si>
    <t>TẤN</t>
  </si>
  <si>
    <t>KẾ HOẠCH NS</t>
  </si>
  <si>
    <t>D</t>
  </si>
  <si>
    <t>Kraftlinet-KH</t>
  </si>
  <si>
    <t>Kraftlinet-TT</t>
  </si>
  <si>
    <t>Kraftlinet</t>
  </si>
  <si>
    <t>Tổng số ngày SX  Kraftlinet</t>
  </si>
  <si>
    <t>Tổng Số ngày sx Kraftlinet</t>
  </si>
  <si>
    <t>SL Lũy kế Kraftlinet -TT</t>
  </si>
  <si>
    <t>Tỷ lệ đạt  THỰC TẾ - Kraftlinet</t>
  </si>
  <si>
    <t>u</t>
  </si>
  <si>
    <t>Các điểm lưu ý : Các hạng mục Tổng hợp (II)  ( III) và ( IV )   sẽ thực hiện tổng hợp / đánh giá  kết thúc  mỗi THÁNG hoặc TUẦN</t>
  </si>
  <si>
    <t>Tổng số ngày sản xuất</t>
  </si>
  <si>
    <t>Tổng Số ngày sx giấy Kraftline</t>
  </si>
  <si>
    <t>Giấy Kraftline-KH</t>
  </si>
  <si>
    <t>Giấy Kraftline-TT</t>
  </si>
  <si>
    <t>GIẤY KRAFTLINE</t>
  </si>
  <si>
    <t>II .TÌNH HÌNH THỰC TẾ SẢN LƯỢNG HÀNG NGÀY</t>
  </si>
  <si>
    <t xml:space="preserve">THEO DÕI  THỰC TẾ  SẢN LƯỢNG  HÀNG NGÀY DÂY CHUYỀN PM3 </t>
  </si>
  <si>
    <t>Báo cáo</t>
  </si>
  <si>
    <t>Sản lượng ngày</t>
  </si>
  <si>
    <t>Số ngày trong tháng</t>
  </si>
  <si>
    <t>Sản lượng TT</t>
  </si>
  <si>
    <t>Đạt</t>
  </si>
  <si>
    <t xml:space="preserve">Báo cáo nhanh </t>
  </si>
  <si>
    <t>1. Triển khai kế hoạch bù âm hôm trước bằng cách tăng tốc độ máy xeo…</t>
  </si>
  <si>
    <t>CÔNG TY TNHH MIZA NGHI SƠN</t>
  </si>
  <si>
    <t>``</t>
  </si>
  <si>
    <t>Sản lượng KH</t>
  </si>
  <si>
    <t>SL thiếu so với KH</t>
  </si>
  <si>
    <t>Thời gian BD-VS
(ngày)</t>
  </si>
  <si>
    <t>SLTB ngày để đạt SLKH</t>
  </si>
  <si>
    <t xml:space="preserve">Số ngày còn lại </t>
  </si>
  <si>
    <t>NGÀY</t>
  </si>
  <si>
    <t>ĐG + DM</t>
  </si>
  <si>
    <t>Sản lượng</t>
  </si>
  <si>
    <t xml:space="preserve">Hàng lỗi </t>
  </si>
  <si>
    <t xml:space="preserve">% Hàng lỗi </t>
  </si>
  <si>
    <t>% SL</t>
  </si>
  <si>
    <t>% Hàng lỗi</t>
  </si>
  <si>
    <t>% Hiệu suất</t>
  </si>
  <si>
    <t>OEE</t>
  </si>
  <si>
    <t>SL Năm</t>
  </si>
  <si>
    <t>Tỷ lệ đạt</t>
  </si>
  <si>
    <t>THÁNG 5.2026</t>
  </si>
  <si>
    <t xml:space="preserve">KH Tháng </t>
  </si>
  <si>
    <t xml:space="preserve">Thực tế </t>
  </si>
  <si>
    <t xml:space="preserve">21 tấn bục thấp </t>
  </si>
  <si>
    <t xml:space="preserve">23 tấn màu lệch </t>
  </si>
  <si>
    <t xml:space="preserve">2 tấn lần chéo </t>
  </si>
  <si>
    <t xml:space="preserve">2,5 tấn giấy lằn </t>
  </si>
  <si>
    <t xml:space="preserve">15 tấn bục thấp </t>
  </si>
  <si>
    <t>4,5 giấy lằn</t>
  </si>
  <si>
    <t>2,1 móp lõi</t>
  </si>
  <si>
    <t>Dự kiến SL tháng 
(480 tấn/ngày)</t>
  </si>
  <si>
    <t>1.Đứt giấy 2 lần 30p</t>
  </si>
  <si>
    <t>TB(1-29)</t>
  </si>
  <si>
    <t xml:space="preserve">2,8 tấn giấy lằn </t>
  </si>
  <si>
    <t xml:space="preserve">20 tấn vệt thâm </t>
  </si>
  <si>
    <t xml:space="preserve">2,5 tấn dương khổ </t>
  </si>
  <si>
    <t xml:space="preserve">41,8 tấn bục thấp </t>
  </si>
  <si>
    <t>3,2 tấn đốm đen</t>
  </si>
  <si>
    <t xml:space="preserve">19 tấn ọp mép </t>
  </si>
  <si>
    <t xml:space="preserve">4,5 tấn lằn chéo và 9 tấn mặt giấy đốm chưa cắt </t>
  </si>
  <si>
    <t>M3</t>
  </si>
  <si>
    <t>T3</t>
  </si>
  <si>
    <t>K3</t>
  </si>
  <si>
    <t>% trên SL tổng</t>
  </si>
  <si>
    <t>% trên SL từng loại giấy</t>
  </si>
  <si>
    <t xml:space="preserve">SL lỗi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</si>
</sst>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₫_-;\-* #,##0.00\ _₫_-;_-* &quot;-&quot;??\ _₫_-;_-@_-"/>
    <numFmt numFmtId="165" formatCode="_(* #,##0.0_);_(* \(#,##0.0\);_(* &quot;-&quot;??_);_(@_)"/>
    <numFmt numFmtId="166" formatCode="_(* #,##0_);_(* \(#,##0\);_(* &quot;-&quot;??_);_(@_)"/>
    <numFmt numFmtId="167" formatCode="_(* #,##0.000_);_(* \(#,##0.000\);_(* &quot;-&quot;??_);_(@_)"/>
    <numFmt numFmtId="168" formatCode="0.0%"/>
    <numFmt numFmtId="169" formatCode="_-* #,##0\ _₫_-;\-* #,##0\ _₫_-;_-* &quot;-&quot;??\ _₫_-;_-@_-"/>
    <numFmt numFmtId="170" formatCode="0.000"/>
    <numFmt numFmtId="171" formatCode="_-* #,##0.0\ _₫_-;\-* #,##0.0\ _₫_-;_-* &quot;-&quot;???\ _₫_-;_-@_-"/>
    <numFmt numFmtId="172" formatCode="0.0"/>
    <numFmt numFmtId="173" formatCode="#,##0.000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ＭＳ Ｐゴシック"/>
      <family val="3"/>
      <charset val="128"/>
    </font>
    <font>
      <sz val="18"/>
      <color theme="1"/>
      <name val="Calibri"/>
      <family val="2"/>
      <scheme val="minor"/>
    </font>
    <font>
      <sz val="11"/>
      <color theme="0" tint="-0.499984740745262"/>
      <name val="Tahoma"/>
      <family val="2"/>
    </font>
    <font>
      <b/>
      <sz val="11"/>
      <color rgb="FF0000FF"/>
      <name val="Tahoma"/>
      <family val="2"/>
    </font>
    <font>
      <b/>
      <sz val="11"/>
      <color theme="0"/>
      <name val="Tahoma"/>
      <family val="2"/>
    </font>
    <font>
      <b/>
      <sz val="11"/>
      <color rgb="FFFF0000"/>
      <name val="Tahoma"/>
      <family val="2"/>
    </font>
    <font>
      <sz val="11"/>
      <color rgb="FFFF0000"/>
      <name val="Tahoma"/>
      <family val="2"/>
    </font>
    <font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ahoma"/>
      <family val="2"/>
    </font>
    <font>
      <b/>
      <sz val="11"/>
      <color rgb="FFC00000"/>
      <name val="Tahoma"/>
      <family val="2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b/>
      <sz val="40"/>
      <color theme="1"/>
      <name val="Times New Roman"/>
      <family val="1"/>
    </font>
    <font>
      <b/>
      <sz val="48"/>
      <color theme="1"/>
      <name val="Times New Roman"/>
      <family val="1"/>
    </font>
    <font>
      <b/>
      <sz val="26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name val="Times New Roman"/>
      <family val="1"/>
    </font>
    <font>
      <b/>
      <sz val="11"/>
      <color theme="1"/>
      <name val="Times New Roman"/>
      <family val="1"/>
    </font>
    <font>
      <b/>
      <sz val="33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36"/>
      <color rgb="FF0070C0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26"/>
      <color rgb="FF0000FF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7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4"/>
      <color rgb="FFC00000"/>
      <name val="Times New Roman"/>
      <family val="1"/>
    </font>
    <font>
      <b/>
      <sz val="18"/>
      <color rgb="FFC00000"/>
      <name val="Times New Roman"/>
      <family val="1"/>
    </font>
    <font>
      <sz val="18"/>
      <color theme="1"/>
      <name val="Times New Roman"/>
      <family val="1"/>
    </font>
    <font>
      <sz val="14"/>
      <name val="Times New Roman"/>
      <family val="1"/>
    </font>
    <font>
      <sz val="14"/>
      <color theme="0" tint="-0.499984740745262"/>
      <name val="Times New Roman"/>
      <family val="1"/>
    </font>
    <font>
      <sz val="18"/>
      <color theme="0" tint="-0.499984740745262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.5"/>
      <color rgb="FF0000FF"/>
      <name val="Times New Roman"/>
      <family val="1"/>
    </font>
    <font>
      <b/>
      <sz val="14"/>
      <color rgb="FF0000FF"/>
      <name val="Times New Roman"/>
      <family val="1"/>
    </font>
    <font>
      <b/>
      <sz val="1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5.5"/>
      <color theme="1"/>
      <name val="Times New Roman"/>
      <family val="1"/>
    </font>
    <font>
      <b/>
      <sz val="18"/>
      <name val="Times New Roman"/>
      <family val="1"/>
    </font>
    <font>
      <b/>
      <sz val="2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8"/>
      <color rgb="FFFF0000"/>
      <name val="Times New Roman"/>
      <family val="1"/>
    </font>
    <font>
      <sz val="16"/>
      <color rgb="FFFF0000"/>
      <name val="Times New Roman"/>
      <family val="1"/>
    </font>
    <font>
      <sz val="22"/>
      <color rgb="FFFF0000"/>
      <name val="Times New Roman"/>
      <family val="1"/>
    </font>
    <font>
      <b/>
      <sz val="28"/>
      <name val="Times New Roman"/>
      <family val="1"/>
    </font>
    <font>
      <b/>
      <sz val="72"/>
      <color rgb="FFFF0000"/>
      <name val="Times New Roman"/>
      <family val="1"/>
    </font>
    <font>
      <b/>
      <sz val="22"/>
      <color rgb="FF0000FF"/>
      <name val="Times New Roman"/>
      <family val="1"/>
    </font>
    <font>
      <sz val="22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.VnTime"/>
      <family val="2"/>
    </font>
    <font>
      <sz val="12"/>
      <color theme="1"/>
      <name val="Arial"/>
      <family val="2"/>
      <charset val="163"/>
    </font>
    <font>
      <sz val="14"/>
      <color theme="1"/>
      <name val="Times New Roman"/>
      <family val="2"/>
    </font>
    <font>
      <sz val="16"/>
      <color theme="2" tint="-0.499984740745262"/>
      <name val="Times New Roman"/>
      <family val="1"/>
    </font>
    <font>
      <sz val="18"/>
      <color theme="1" tint="0.499984740745262"/>
      <name val="Times New Roman"/>
      <family val="1"/>
    </font>
    <font>
      <b/>
      <sz val="21"/>
      <color theme="1"/>
      <name val="Times New Roman"/>
      <family val="1"/>
    </font>
    <font>
      <sz val="24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23"/>
      <name val="Tahoma"/>
      <family val="2"/>
    </font>
    <font>
      <sz val="11"/>
      <color indexed="8"/>
      <name val="Tahoma"/>
      <family val="2"/>
    </font>
    <font>
      <sz val="11"/>
      <color indexed="12"/>
      <name val="Tahoma"/>
      <family val="2"/>
    </font>
    <font>
      <b/>
      <sz val="11"/>
      <color indexed="8"/>
      <name val="Tahoma"/>
      <family val="2"/>
    </font>
    <font>
      <sz val="10"/>
      <color indexed="8"/>
      <name val="Times New Roman"/>
      <family val="1"/>
    </font>
    <font>
      <b/>
      <sz val="11"/>
      <name val="Tahoma"/>
      <family val="2"/>
    </font>
    <font>
      <sz val="11"/>
      <color indexed="10"/>
      <name val="Tahoma"/>
      <family val="2"/>
    </font>
    <font>
      <sz val="12"/>
      <name val="Tahoma"/>
      <family val="2"/>
    </font>
    <font>
      <sz val="11"/>
      <name val="Tahoma"/>
      <family val="2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2"/>
      <color indexed="10"/>
      <name val="Times New Roman"/>
      <family val="1"/>
    </font>
    <font>
      <sz val="20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0" tint="-0.499984740745262"/>
      <name val="Times New Roman"/>
      <family val="1"/>
    </font>
    <font>
      <sz val="12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rgb="FF0000FF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1">
    <xf numFmtId="0" fontId="0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0" fillId="0" borderId="0"/>
    <xf numFmtId="0" fontId="10" fillId="0" borderId="0"/>
    <xf numFmtId="0" fontId="72" fillId="0" borderId="0"/>
    <xf numFmtId="0" fontId="72" fillId="0" borderId="0"/>
    <xf numFmtId="0" fontId="72" fillId="0" borderId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0" fontId="4" fillId="0" borderId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74" fillId="0" borderId="0"/>
    <xf numFmtId="0" fontId="75" fillId="0" borderId="0"/>
    <xf numFmtId="0" fontId="76" fillId="0" borderId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0" fontId="3" fillId="0" borderId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0" fontId="2" fillId="0" borderId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0" fontId="1" fillId="0" borderId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48">
    <xf numFmtId="0" fontId="0" fillId="0" borderId="0" xfId="0"/>
    <xf numFmtId="0" fontId="6" fillId="2" borderId="11" xfId="0" applyFont="1" applyFill="1" applyBorder="1" applyAlignment="1">
      <alignment horizontal="center" vertical="center"/>
    </xf>
    <xf numFmtId="165" fontId="12" fillId="2" borderId="4" xfId="0" applyNumberFormat="1" applyFont="1" applyFill="1" applyBorder="1" applyAlignment="1">
      <alignment horizontal="left" vertical="center"/>
    </xf>
    <xf numFmtId="167" fontId="12" fillId="2" borderId="11" xfId="2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167" fontId="7" fillId="2" borderId="11" xfId="2" applyNumberFormat="1" applyFont="1" applyFill="1" applyBorder="1" applyAlignment="1">
      <alignment horizontal="center" vertical="center"/>
    </xf>
    <xf numFmtId="167" fontId="13" fillId="2" borderId="11" xfId="2" applyNumberFormat="1" applyFont="1" applyFill="1" applyBorder="1" applyAlignment="1">
      <alignment horizontal="center" vertical="center"/>
    </xf>
    <xf numFmtId="165" fontId="14" fillId="4" borderId="4" xfId="0" applyNumberFormat="1" applyFont="1" applyFill="1" applyBorder="1" applyAlignment="1">
      <alignment horizontal="left" vertical="center"/>
    </xf>
    <xf numFmtId="167" fontId="14" fillId="4" borderId="11" xfId="2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 applyAlignment="1">
      <alignment horizontal="left" vertical="center"/>
    </xf>
    <xf numFmtId="165" fontId="13" fillId="2" borderId="4" xfId="0" applyNumberFormat="1" applyFont="1" applyFill="1" applyBorder="1" applyAlignment="1">
      <alignment horizontal="left" vertical="center"/>
    </xf>
    <xf numFmtId="165" fontId="7" fillId="5" borderId="4" xfId="0" applyNumberFormat="1" applyFont="1" applyFill="1" applyBorder="1" applyAlignment="1">
      <alignment horizontal="left" vertical="center"/>
    </xf>
    <xf numFmtId="167" fontId="7" fillId="5" borderId="11" xfId="2" applyNumberFormat="1" applyFont="1" applyFill="1" applyBorder="1" applyAlignment="1">
      <alignment horizontal="center" vertical="center"/>
    </xf>
    <xf numFmtId="165" fontId="15" fillId="2" borderId="11" xfId="0" applyNumberFormat="1" applyFont="1" applyFill="1" applyBorder="1" applyAlignment="1">
      <alignment horizontal="center" vertical="center" wrapText="1"/>
    </xf>
    <xf numFmtId="165" fontId="7" fillId="11" borderId="4" xfId="0" applyNumberFormat="1" applyFont="1" applyFill="1" applyBorder="1" applyAlignment="1">
      <alignment horizontal="left" vertical="center"/>
    </xf>
    <xf numFmtId="167" fontId="7" fillId="11" borderId="11" xfId="2" applyNumberFormat="1" applyFont="1" applyFill="1" applyBorder="1" applyAlignment="1">
      <alignment horizontal="center" vertical="center"/>
    </xf>
    <xf numFmtId="165" fontId="13" fillId="11" borderId="4" xfId="0" applyNumberFormat="1" applyFont="1" applyFill="1" applyBorder="1" applyAlignment="1">
      <alignment horizontal="left" vertical="center"/>
    </xf>
    <xf numFmtId="167" fontId="13" fillId="11" borderId="11" xfId="2" applyNumberFormat="1" applyFont="1" applyFill="1" applyBorder="1" applyAlignment="1">
      <alignment horizontal="center" vertical="center"/>
    </xf>
    <xf numFmtId="0" fontId="17" fillId="0" borderId="0" xfId="0" applyFont="1"/>
    <xf numFmtId="0" fontId="16" fillId="9" borderId="11" xfId="0" applyFont="1" applyFill="1" applyBorder="1" applyAlignment="1">
      <alignment horizontal="center" vertical="center"/>
    </xf>
    <xf numFmtId="0" fontId="11" fillId="0" borderId="28" xfId="0" applyFont="1" applyBorder="1"/>
    <xf numFmtId="0" fontId="17" fillId="0" borderId="29" xfId="0" applyFont="1" applyBorder="1"/>
    <xf numFmtId="0" fontId="17" fillId="0" borderId="30" xfId="0" applyFont="1" applyBorder="1"/>
    <xf numFmtId="0" fontId="6" fillId="12" borderId="11" xfId="0" applyFont="1" applyFill="1" applyBorder="1" applyAlignment="1">
      <alignment horizontal="center" vertical="center"/>
    </xf>
    <xf numFmtId="166" fontId="12" fillId="12" borderId="11" xfId="2" applyNumberFormat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/>
    </xf>
    <xf numFmtId="166" fontId="0" fillId="0" borderId="0" xfId="0" applyNumberFormat="1"/>
    <xf numFmtId="0" fontId="21" fillId="2" borderId="4" xfId="0" applyFont="1" applyFill="1" applyBorder="1" applyAlignment="1">
      <alignment horizontal="left" vertical="center"/>
    </xf>
    <xf numFmtId="167" fontId="21" fillId="2" borderId="11" xfId="2" applyNumberFormat="1" applyFont="1" applyFill="1" applyBorder="1" applyAlignment="1">
      <alignment horizontal="center" vertical="center"/>
    </xf>
    <xf numFmtId="165" fontId="21" fillId="2" borderId="4" xfId="0" applyNumberFormat="1" applyFont="1" applyFill="1" applyBorder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/>
    <xf numFmtId="165" fontId="24" fillId="2" borderId="0" xfId="0" applyNumberFormat="1" applyFont="1" applyFill="1" applyAlignment="1">
      <alignment vertical="center" wrapText="1"/>
    </xf>
    <xf numFmtId="165" fontId="25" fillId="2" borderId="0" xfId="0" applyNumberFormat="1" applyFont="1" applyFill="1" applyAlignment="1">
      <alignment vertical="center" wrapText="1"/>
    </xf>
    <xf numFmtId="165" fontId="25" fillId="2" borderId="0" xfId="0" applyNumberFormat="1" applyFont="1" applyFill="1" applyAlignment="1">
      <alignment wrapText="1"/>
    </xf>
    <xf numFmtId="0" fontId="22" fillId="2" borderId="2" xfId="0" applyFont="1" applyFill="1" applyBorder="1" applyAlignment="1">
      <alignment horizontal="center"/>
    </xf>
    <xf numFmtId="0" fontId="28" fillId="10" borderId="0" xfId="5" applyFont="1" applyFill="1" applyAlignment="1">
      <alignment vertical="center"/>
    </xf>
    <xf numFmtId="0" fontId="29" fillId="2" borderId="5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30" fillId="2" borderId="5" xfId="0" applyFont="1" applyFill="1" applyBorder="1"/>
    <xf numFmtId="165" fontId="31" fillId="2" borderId="0" xfId="0" applyNumberFormat="1" applyFont="1" applyFill="1" applyAlignment="1">
      <alignment vertical="center"/>
    </xf>
    <xf numFmtId="165" fontId="31" fillId="2" borderId="5" xfId="0" applyNumberFormat="1" applyFont="1" applyFill="1" applyBorder="1"/>
    <xf numFmtId="165" fontId="31" fillId="2" borderId="0" xfId="0" applyNumberFormat="1" applyFont="1" applyFill="1"/>
    <xf numFmtId="165" fontId="32" fillId="2" borderId="0" xfId="0" applyNumberFormat="1" applyFont="1" applyFill="1"/>
    <xf numFmtId="165" fontId="34" fillId="2" borderId="5" xfId="0" applyNumberFormat="1" applyFont="1" applyFill="1" applyBorder="1"/>
    <xf numFmtId="0" fontId="34" fillId="2" borderId="9" xfId="0" applyFont="1" applyFill="1" applyBorder="1" applyAlignment="1">
      <alignment horizontal="left" vertical="center"/>
    </xf>
    <xf numFmtId="0" fontId="35" fillId="2" borderId="22" xfId="0" applyFont="1" applyFill="1" applyBorder="1" applyAlignment="1">
      <alignment horizontal="center" vertical="center"/>
    </xf>
    <xf numFmtId="0" fontId="35" fillId="2" borderId="24" xfId="0" applyFont="1" applyFill="1" applyBorder="1" applyAlignment="1">
      <alignment horizontal="center" vertical="center"/>
    </xf>
    <xf numFmtId="0" fontId="26" fillId="2" borderId="11" xfId="0" applyFont="1" applyFill="1" applyBorder="1"/>
    <xf numFmtId="0" fontId="37" fillId="2" borderId="19" xfId="0" applyFont="1" applyFill="1" applyBorder="1" applyAlignment="1">
      <alignment wrapText="1"/>
    </xf>
    <xf numFmtId="0" fontId="38" fillId="2" borderId="19" xfId="0" applyFont="1" applyFill="1" applyBorder="1" applyAlignment="1">
      <alignment wrapText="1"/>
    </xf>
    <xf numFmtId="0" fontId="22" fillId="2" borderId="4" xfId="0" applyFont="1" applyFill="1" applyBorder="1" applyAlignment="1">
      <alignment horizontal="center"/>
    </xf>
    <xf numFmtId="0" fontId="35" fillId="2" borderId="0" xfId="0" applyFont="1" applyFill="1" applyAlignment="1">
      <alignment horizontal="center" vertical="center"/>
    </xf>
    <xf numFmtId="0" fontId="39" fillId="2" borderId="17" xfId="0" applyFont="1" applyFill="1" applyBorder="1" applyAlignment="1">
      <alignment horizontal="left" vertical="center"/>
    </xf>
    <xf numFmtId="0" fontId="35" fillId="2" borderId="25" xfId="0" applyFont="1" applyFill="1" applyBorder="1" applyAlignment="1">
      <alignment horizontal="center" vertical="center"/>
    </xf>
    <xf numFmtId="166" fontId="35" fillId="2" borderId="4" xfId="0" applyNumberFormat="1" applyFont="1" applyFill="1" applyBorder="1" applyAlignment="1">
      <alignment horizontal="center" vertical="center" wrapText="1"/>
    </xf>
    <xf numFmtId="166" fontId="38" fillId="2" borderId="4" xfId="0" applyNumberFormat="1" applyFont="1" applyFill="1" applyBorder="1" applyAlignment="1">
      <alignment horizontal="left" vertical="center" wrapText="1"/>
    </xf>
    <xf numFmtId="0" fontId="35" fillId="2" borderId="4" xfId="0" applyFont="1" applyFill="1" applyBorder="1" applyAlignment="1">
      <alignment horizontal="center"/>
    </xf>
    <xf numFmtId="10" fontId="35" fillId="2" borderId="0" xfId="1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2" borderId="17" xfId="0" applyFont="1" applyFill="1" applyBorder="1" applyAlignment="1">
      <alignment horizontal="center" vertical="center"/>
    </xf>
    <xf numFmtId="0" fontId="38" fillId="2" borderId="25" xfId="0" applyFont="1" applyFill="1" applyBorder="1" applyAlignment="1">
      <alignment horizontal="center" vertical="center"/>
    </xf>
    <xf numFmtId="165" fontId="38" fillId="2" borderId="11" xfId="0" applyNumberFormat="1" applyFont="1" applyFill="1" applyBorder="1" applyAlignment="1">
      <alignment horizontal="left"/>
    </xf>
    <xf numFmtId="165" fontId="38" fillId="2" borderId="19" xfId="0" applyNumberFormat="1" applyFont="1" applyFill="1" applyBorder="1" applyAlignment="1">
      <alignment horizontal="left"/>
    </xf>
    <xf numFmtId="165" fontId="38" fillId="2" borderId="19" xfId="0" applyNumberFormat="1" applyFont="1" applyFill="1" applyBorder="1" applyAlignment="1">
      <alignment horizontal="center"/>
    </xf>
    <xf numFmtId="165" fontId="38" fillId="2" borderId="4" xfId="0" applyNumberFormat="1" applyFont="1" applyFill="1" applyBorder="1" applyAlignment="1">
      <alignment horizontal="center"/>
    </xf>
    <xf numFmtId="0" fontId="38" fillId="2" borderId="4" xfId="0" applyFont="1" applyFill="1" applyBorder="1" applyAlignment="1">
      <alignment horizontal="center"/>
    </xf>
    <xf numFmtId="168" fontId="38" fillId="13" borderId="11" xfId="1" applyNumberFormat="1" applyFont="1" applyFill="1" applyBorder="1" applyAlignment="1">
      <alignment horizontal="center" vertical="center"/>
    </xf>
    <xf numFmtId="9" fontId="34" fillId="13" borderId="4" xfId="1" applyFont="1" applyFill="1" applyBorder="1" applyAlignment="1">
      <alignment horizontal="center" vertical="center" shrinkToFit="1"/>
    </xf>
    <xf numFmtId="168" fontId="38" fillId="7" borderId="11" xfId="1" applyNumberFormat="1" applyFont="1" applyFill="1" applyBorder="1" applyAlignment="1">
      <alignment horizontal="center" vertical="center"/>
    </xf>
    <xf numFmtId="9" fontId="34" fillId="7" borderId="4" xfId="1" applyFont="1" applyFill="1" applyBorder="1" applyAlignment="1">
      <alignment horizontal="center" vertical="center" shrinkToFit="1"/>
    </xf>
    <xf numFmtId="165" fontId="38" fillId="2" borderId="11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0" fontId="43" fillId="2" borderId="25" xfId="0" applyFont="1" applyFill="1" applyBorder="1" applyAlignment="1">
      <alignment horizontal="center" vertical="center"/>
    </xf>
    <xf numFmtId="165" fontId="38" fillId="2" borderId="11" xfId="0" applyNumberFormat="1" applyFont="1" applyFill="1" applyBorder="1" applyAlignment="1">
      <alignment horizontal="left" wrapText="1"/>
    </xf>
    <xf numFmtId="165" fontId="38" fillId="2" borderId="19" xfId="0" applyNumberFormat="1" applyFont="1" applyFill="1" applyBorder="1" applyAlignment="1">
      <alignment horizontal="left" wrapText="1"/>
    </xf>
    <xf numFmtId="165" fontId="45" fillId="2" borderId="4" xfId="0" applyNumberFormat="1" applyFont="1" applyFill="1" applyBorder="1" applyAlignment="1">
      <alignment horizontal="center" wrapText="1"/>
    </xf>
    <xf numFmtId="0" fontId="43" fillId="2" borderId="4" xfId="0" applyFont="1" applyFill="1" applyBorder="1" applyAlignment="1">
      <alignment horizontal="center"/>
    </xf>
    <xf numFmtId="168" fontId="38" fillId="3" borderId="11" xfId="1" applyNumberFormat="1" applyFont="1" applyFill="1" applyBorder="1" applyAlignment="1">
      <alignment horizontal="center"/>
    </xf>
    <xf numFmtId="9" fontId="39" fillId="3" borderId="4" xfId="1" applyFont="1" applyFill="1" applyBorder="1" applyAlignment="1">
      <alignment horizontal="center" vertical="center"/>
    </xf>
    <xf numFmtId="166" fontId="22" fillId="2" borderId="0" xfId="0" applyNumberFormat="1" applyFont="1" applyFill="1" applyAlignment="1">
      <alignment horizontal="center"/>
    </xf>
    <xf numFmtId="165" fontId="38" fillId="2" borderId="4" xfId="0" applyNumberFormat="1" applyFont="1" applyFill="1" applyBorder="1" applyAlignment="1">
      <alignment horizontal="center" vertical="center" wrapText="1"/>
    </xf>
    <xf numFmtId="165" fontId="41" fillId="14" borderId="4" xfId="0" applyNumberFormat="1" applyFont="1" applyFill="1" applyBorder="1" applyAlignment="1">
      <alignment vertical="center" wrapText="1"/>
    </xf>
    <xf numFmtId="167" fontId="35" fillId="14" borderId="11" xfId="2" applyNumberFormat="1" applyFont="1" applyFill="1" applyBorder="1" applyAlignment="1">
      <alignment horizontal="center"/>
    </xf>
    <xf numFmtId="166" fontId="38" fillId="2" borderId="4" xfId="0" applyNumberFormat="1" applyFont="1" applyFill="1" applyBorder="1" applyAlignment="1">
      <alignment horizontal="left" vertical="center" shrinkToFit="1"/>
    </xf>
    <xf numFmtId="165" fontId="47" fillId="2" borderId="4" xfId="0" applyNumberFormat="1" applyFont="1" applyFill="1" applyBorder="1" applyAlignment="1">
      <alignment vertical="center" wrapText="1"/>
    </xf>
    <xf numFmtId="167" fontId="35" fillId="2" borderId="11" xfId="2" applyNumberFormat="1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166" fontId="47" fillId="2" borderId="4" xfId="2" applyNumberFormat="1" applyFont="1" applyFill="1" applyBorder="1" applyAlignment="1">
      <alignment horizontal="center" shrinkToFit="1"/>
    </xf>
    <xf numFmtId="165" fontId="48" fillId="13" borderId="4" xfId="0" applyNumberFormat="1" applyFont="1" applyFill="1" applyBorder="1" applyAlignment="1">
      <alignment vertical="center" wrapText="1"/>
    </xf>
    <xf numFmtId="167" fontId="49" fillId="13" borderId="11" xfId="2" applyNumberFormat="1" applyFont="1" applyFill="1" applyBorder="1" applyAlignment="1">
      <alignment horizontal="center"/>
    </xf>
    <xf numFmtId="166" fontId="41" fillId="2" borderId="4" xfId="2" applyNumberFormat="1" applyFont="1" applyFill="1" applyBorder="1" applyAlignment="1">
      <alignment horizontal="center" vertical="center" shrinkToFit="1"/>
    </xf>
    <xf numFmtId="167" fontId="35" fillId="8" borderId="11" xfId="2" applyNumberFormat="1" applyFont="1" applyFill="1" applyBorder="1" applyAlignment="1">
      <alignment horizontal="center"/>
    </xf>
    <xf numFmtId="165" fontId="51" fillId="8" borderId="4" xfId="4" applyNumberFormat="1" applyFont="1" applyFill="1" applyBorder="1" applyAlignment="1">
      <alignment horizontal="center" shrinkToFit="1"/>
    </xf>
    <xf numFmtId="165" fontId="52" fillId="2" borderId="4" xfId="0" applyNumberFormat="1" applyFont="1" applyFill="1" applyBorder="1" applyAlignment="1">
      <alignment horizontal="left" vertical="center"/>
    </xf>
    <xf numFmtId="168" fontId="52" fillId="2" borderId="11" xfId="1" applyNumberFormat="1" applyFont="1" applyFill="1" applyBorder="1" applyAlignment="1">
      <alignment horizontal="center"/>
    </xf>
    <xf numFmtId="9" fontId="52" fillId="2" borderId="4" xfId="1" applyFont="1" applyFill="1" applyBorder="1" applyAlignment="1">
      <alignment horizontal="center" shrinkToFit="1"/>
    </xf>
    <xf numFmtId="165" fontId="53" fillId="2" borderId="4" xfId="0" applyNumberFormat="1" applyFont="1" applyFill="1" applyBorder="1" applyAlignment="1">
      <alignment horizontal="left" vertical="center"/>
    </xf>
    <xf numFmtId="167" fontId="53" fillId="2" borderId="11" xfId="2" applyNumberFormat="1" applyFont="1" applyFill="1" applyBorder="1" applyAlignment="1">
      <alignment horizontal="center"/>
    </xf>
    <xf numFmtId="166" fontId="53" fillId="2" borderId="4" xfId="2" applyNumberFormat="1" applyFont="1" applyFill="1" applyBorder="1" applyAlignment="1">
      <alignment horizontal="center" shrinkToFit="1"/>
    </xf>
    <xf numFmtId="0" fontId="51" fillId="2" borderId="0" xfId="0" applyFont="1" applyFill="1" applyAlignment="1">
      <alignment horizontal="center"/>
    </xf>
    <xf numFmtId="165" fontId="39" fillId="12" borderId="4" xfId="0" applyNumberFormat="1" applyFont="1" applyFill="1" applyBorder="1" applyAlignment="1">
      <alignment horizontal="left" vertical="center"/>
    </xf>
    <xf numFmtId="165" fontId="39" fillId="12" borderId="4" xfId="0" applyNumberFormat="1" applyFont="1" applyFill="1" applyBorder="1" applyAlignment="1">
      <alignment horizontal="center" vertical="center"/>
    </xf>
    <xf numFmtId="165" fontId="55" fillId="12" borderId="4" xfId="0" applyNumberFormat="1" applyFont="1" applyFill="1" applyBorder="1" applyAlignment="1">
      <alignment horizontal="left" vertical="center"/>
    </xf>
    <xf numFmtId="167" fontId="53" fillId="12" borderId="11" xfId="2" applyNumberFormat="1" applyFont="1" applyFill="1" applyBorder="1" applyAlignment="1">
      <alignment horizontal="center"/>
    </xf>
    <xf numFmtId="0" fontId="56" fillId="2" borderId="4" xfId="0" applyFont="1" applyFill="1" applyBorder="1" applyAlignment="1">
      <alignment horizontal="left" vertical="center"/>
    </xf>
    <xf numFmtId="166" fontId="54" fillId="2" borderId="4" xfId="2" applyNumberFormat="1" applyFont="1" applyFill="1" applyBorder="1" applyAlignment="1">
      <alignment horizontal="center" shrinkToFit="1"/>
    </xf>
    <xf numFmtId="0" fontId="57" fillId="2" borderId="4" xfId="0" applyFont="1" applyFill="1" applyBorder="1" applyAlignment="1">
      <alignment horizontal="left" vertical="center"/>
    </xf>
    <xf numFmtId="167" fontId="58" fillId="2" borderId="11" xfId="2" applyNumberFormat="1" applyFont="1" applyFill="1" applyBorder="1" applyAlignment="1">
      <alignment horizontal="center"/>
    </xf>
    <xf numFmtId="165" fontId="59" fillId="4" borderId="4" xfId="0" applyNumberFormat="1" applyFont="1" applyFill="1" applyBorder="1" applyAlignment="1">
      <alignment horizontal="left" vertical="center"/>
    </xf>
    <xf numFmtId="167" fontId="60" fillId="4" borderId="11" xfId="2" applyNumberFormat="1" applyFont="1" applyFill="1" applyBorder="1" applyAlignment="1">
      <alignment horizontal="center"/>
    </xf>
    <xf numFmtId="166" fontId="39" fillId="4" borderId="4" xfId="2" applyNumberFormat="1" applyFont="1" applyFill="1" applyBorder="1" applyAlignment="1">
      <alignment horizontal="center" shrinkToFit="1"/>
    </xf>
    <xf numFmtId="165" fontId="61" fillId="2" borderId="4" xfId="0" applyNumberFormat="1" applyFont="1" applyFill="1" applyBorder="1" applyAlignment="1">
      <alignment horizontal="left" vertical="center"/>
    </xf>
    <xf numFmtId="165" fontId="57" fillId="2" borderId="4" xfId="0" applyNumberFormat="1" applyFont="1" applyFill="1" applyBorder="1" applyAlignment="1">
      <alignment horizontal="left" vertical="center"/>
    </xf>
    <xf numFmtId="165" fontId="38" fillId="5" borderId="4" xfId="0" applyNumberFormat="1" applyFont="1" applyFill="1" applyBorder="1" applyAlignment="1">
      <alignment horizontal="left" vertical="center"/>
    </xf>
    <xf numFmtId="167" fontId="35" fillId="5" borderId="11" xfId="2" applyNumberFormat="1" applyFont="1" applyFill="1" applyBorder="1" applyAlignment="1">
      <alignment horizontal="center"/>
    </xf>
    <xf numFmtId="166" fontId="62" fillId="5" borderId="4" xfId="2" applyNumberFormat="1" applyFont="1" applyFill="1" applyBorder="1" applyAlignment="1">
      <alignment horizontal="center" shrinkToFit="1"/>
    </xf>
    <xf numFmtId="9" fontId="51" fillId="2" borderId="0" xfId="1" applyFont="1" applyFill="1" applyBorder="1" applyAlignment="1">
      <alignment horizontal="center"/>
    </xf>
    <xf numFmtId="165" fontId="38" fillId="2" borderId="4" xfId="0" applyNumberFormat="1" applyFont="1" applyFill="1" applyBorder="1" applyAlignment="1">
      <alignment horizontal="left" vertical="center"/>
    </xf>
    <xf numFmtId="166" fontId="51" fillId="2" borderId="4" xfId="2" applyNumberFormat="1" applyFont="1" applyFill="1" applyBorder="1" applyAlignment="1">
      <alignment horizontal="center" shrinkToFit="1"/>
    </xf>
    <xf numFmtId="165" fontId="41" fillId="2" borderId="4" xfId="0" applyNumberFormat="1" applyFont="1" applyFill="1" applyBorder="1" applyAlignment="1">
      <alignment horizontal="left" vertical="center"/>
    </xf>
    <xf numFmtId="165" fontId="35" fillId="6" borderId="4" xfId="0" applyNumberFormat="1" applyFont="1" applyFill="1" applyBorder="1" applyAlignment="1">
      <alignment horizontal="left" vertical="center"/>
    </xf>
    <xf numFmtId="167" fontId="35" fillId="6" borderId="11" xfId="2" applyNumberFormat="1" applyFont="1" applyFill="1" applyBorder="1" applyAlignment="1">
      <alignment horizontal="center"/>
    </xf>
    <xf numFmtId="166" fontId="51" fillId="6" borderId="4" xfId="2" applyNumberFormat="1" applyFont="1" applyFill="1" applyBorder="1" applyAlignment="1">
      <alignment horizontal="center" shrinkToFit="1"/>
    </xf>
    <xf numFmtId="0" fontId="47" fillId="2" borderId="17" xfId="0" applyFont="1" applyFill="1" applyBorder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7" fillId="2" borderId="25" xfId="0" applyFont="1" applyFill="1" applyBorder="1" applyAlignment="1">
      <alignment horizontal="center" vertical="center"/>
    </xf>
    <xf numFmtId="165" fontId="64" fillId="2" borderId="11" xfId="0" applyNumberFormat="1" applyFont="1" applyFill="1" applyBorder="1" applyAlignment="1">
      <alignment horizontal="center" wrapText="1"/>
    </xf>
    <xf numFmtId="166" fontId="51" fillId="2" borderId="4" xfId="0" applyNumberFormat="1" applyFont="1" applyFill="1" applyBorder="1" applyAlignment="1">
      <alignment horizontal="center"/>
    </xf>
    <xf numFmtId="0" fontId="47" fillId="2" borderId="26" xfId="0" applyFont="1" applyFill="1" applyBorder="1" applyAlignment="1">
      <alignment horizontal="center" vertical="center"/>
    </xf>
    <xf numFmtId="0" fontId="47" fillId="2" borderId="23" xfId="0" applyFont="1" applyFill="1" applyBorder="1" applyAlignment="1">
      <alignment horizontal="center" vertical="center"/>
    </xf>
    <xf numFmtId="0" fontId="47" fillId="2" borderId="27" xfId="0" applyFont="1" applyFill="1" applyBorder="1" applyAlignment="1">
      <alignment horizontal="center" vertical="center"/>
    </xf>
    <xf numFmtId="0" fontId="66" fillId="2" borderId="11" xfId="0" applyFont="1" applyFill="1" applyBorder="1" applyAlignment="1">
      <alignment horizontal="center"/>
    </xf>
    <xf numFmtId="0" fontId="47" fillId="2" borderId="11" xfId="0" applyFont="1" applyFill="1" applyBorder="1" applyAlignment="1">
      <alignment horizontal="center"/>
    </xf>
    <xf numFmtId="0" fontId="67" fillId="2" borderId="9" xfId="0" applyFont="1" applyFill="1" applyBorder="1" applyAlignment="1">
      <alignment vertical="center"/>
    </xf>
    <xf numFmtId="0" fontId="67" fillId="2" borderId="22" xfId="0" applyFont="1" applyFill="1" applyBorder="1" applyAlignment="1">
      <alignment vertical="center"/>
    </xf>
    <xf numFmtId="0" fontId="47" fillId="2" borderId="22" xfId="0" applyFont="1" applyFill="1" applyBorder="1" applyAlignment="1">
      <alignment vertical="center"/>
    </xf>
    <xf numFmtId="0" fontId="47" fillId="2" borderId="24" xfId="0" applyFont="1" applyFill="1" applyBorder="1" applyAlignment="1">
      <alignment vertical="center"/>
    </xf>
    <xf numFmtId="0" fontId="67" fillId="2" borderId="17" xfId="0" applyFont="1" applyFill="1" applyBorder="1" applyAlignment="1">
      <alignment vertical="center"/>
    </xf>
    <xf numFmtId="0" fontId="67" fillId="2" borderId="0" xfId="0" applyFont="1" applyFill="1" applyAlignment="1">
      <alignment vertical="center"/>
    </xf>
    <xf numFmtId="0" fontId="47" fillId="2" borderId="0" xfId="0" applyFont="1" applyFill="1" applyAlignment="1">
      <alignment vertical="center"/>
    </xf>
    <xf numFmtId="0" fontId="47" fillId="2" borderId="25" xfId="0" applyFont="1" applyFill="1" applyBorder="1" applyAlignment="1">
      <alignment vertical="center"/>
    </xf>
    <xf numFmtId="0" fontId="66" fillId="2" borderId="0" xfId="0" applyFont="1" applyFill="1" applyAlignment="1">
      <alignment horizontal="center" vertical="center"/>
    </xf>
    <xf numFmtId="0" fontId="47" fillId="2" borderId="17" xfId="0" applyFont="1" applyFill="1" applyBorder="1" applyAlignment="1">
      <alignment vertical="center"/>
    </xf>
    <xf numFmtId="0" fontId="47" fillId="2" borderId="26" xfId="0" applyFont="1" applyFill="1" applyBorder="1" applyAlignment="1">
      <alignment vertical="center"/>
    </xf>
    <xf numFmtId="0" fontId="47" fillId="2" borderId="23" xfId="0" applyFont="1" applyFill="1" applyBorder="1" applyAlignment="1">
      <alignment vertical="center"/>
    </xf>
    <xf numFmtId="0" fontId="47" fillId="2" borderId="27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left"/>
    </xf>
    <xf numFmtId="0" fontId="29" fillId="2" borderId="2" xfId="0" applyFont="1" applyFill="1" applyBorder="1" applyAlignment="1">
      <alignment horizontal="left"/>
    </xf>
    <xf numFmtId="0" fontId="22" fillId="2" borderId="12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0" fontId="22" fillId="2" borderId="14" xfId="0" applyFont="1" applyFill="1" applyBorder="1" applyAlignment="1">
      <alignment horizontal="center"/>
    </xf>
    <xf numFmtId="0" fontId="68" fillId="10" borderId="9" xfId="6" applyFont="1" applyFill="1" applyBorder="1"/>
    <xf numFmtId="0" fontId="68" fillId="10" borderId="22" xfId="6" applyFont="1" applyFill="1" applyBorder="1"/>
    <xf numFmtId="0" fontId="68" fillId="10" borderId="24" xfId="6" applyFont="1" applyFill="1" applyBorder="1"/>
    <xf numFmtId="0" fontId="29" fillId="2" borderId="6" xfId="0" applyFont="1" applyFill="1" applyBorder="1" applyAlignment="1">
      <alignment horizontal="left"/>
    </xf>
    <xf numFmtId="0" fontId="29" fillId="2" borderId="7" xfId="0" applyFont="1" applyFill="1" applyBorder="1" applyAlignment="1">
      <alignment horizontal="left"/>
    </xf>
    <xf numFmtId="0" fontId="22" fillId="2" borderId="7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left" vertical="center"/>
    </xf>
    <xf numFmtId="166" fontId="38" fillId="2" borderId="4" xfId="0" applyNumberFormat="1" applyFont="1" applyFill="1" applyBorder="1" applyAlignment="1">
      <alignment horizontal="center" vertical="center" wrapText="1"/>
    </xf>
    <xf numFmtId="166" fontId="39" fillId="2" borderId="4" xfId="0" applyNumberFormat="1" applyFont="1" applyFill="1" applyBorder="1" applyAlignment="1">
      <alignment horizontal="left" vertical="center" wrapText="1"/>
    </xf>
    <xf numFmtId="166" fontId="51" fillId="2" borderId="0" xfId="2" applyNumberFormat="1" applyFont="1" applyFill="1" applyBorder="1" applyAlignment="1">
      <alignment horizontal="center" shrinkToFit="1"/>
    </xf>
    <xf numFmtId="166" fontId="51" fillId="2" borderId="0" xfId="2" applyNumberFormat="1" applyFont="1" applyFill="1" applyBorder="1" applyAlignment="1">
      <alignment horizontal="center" vertical="top" shrinkToFit="1"/>
    </xf>
    <xf numFmtId="0" fontId="51" fillId="2" borderId="0" xfId="0" applyFont="1" applyFill="1" applyAlignment="1">
      <alignment horizontal="center" vertical="center"/>
    </xf>
    <xf numFmtId="166" fontId="39" fillId="2" borderId="0" xfId="2" applyNumberFormat="1" applyFont="1" applyFill="1" applyBorder="1" applyAlignment="1">
      <alignment horizontal="center" vertical="top" shrinkToFit="1"/>
    </xf>
    <xf numFmtId="165" fontId="7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/>
    </xf>
    <xf numFmtId="165" fontId="38" fillId="2" borderId="35" xfId="0" applyNumberFormat="1" applyFont="1" applyFill="1" applyBorder="1" applyAlignment="1">
      <alignment horizontal="center"/>
    </xf>
    <xf numFmtId="165" fontId="26" fillId="2" borderId="35" xfId="0" applyNumberFormat="1" applyFont="1" applyFill="1" applyBorder="1" applyAlignment="1">
      <alignment horizontal="center"/>
    </xf>
    <xf numFmtId="165" fontId="42" fillId="2" borderId="35" xfId="0" applyNumberFormat="1" applyFont="1" applyFill="1" applyBorder="1" applyAlignment="1">
      <alignment horizontal="center"/>
    </xf>
    <xf numFmtId="165" fontId="38" fillId="2" borderId="35" xfId="0" applyNumberFormat="1" applyFont="1" applyFill="1" applyBorder="1" applyAlignment="1">
      <alignment horizontal="left" wrapText="1"/>
    </xf>
    <xf numFmtId="165" fontId="44" fillId="2" borderId="35" xfId="0" applyNumberFormat="1" applyFont="1" applyFill="1" applyBorder="1" applyAlignment="1">
      <alignment horizontal="center" wrapText="1"/>
    </xf>
    <xf numFmtId="166" fontId="38" fillId="14" borderId="35" xfId="0" applyNumberFormat="1" applyFont="1" applyFill="1" applyBorder="1" applyAlignment="1">
      <alignment horizontal="left" shrinkToFit="1"/>
    </xf>
    <xf numFmtId="166" fontId="38" fillId="2" borderId="35" xfId="2" applyNumberFormat="1" applyFont="1" applyFill="1" applyBorder="1" applyAlignment="1">
      <alignment horizontal="center" shrinkToFit="1"/>
    </xf>
    <xf numFmtId="166" fontId="50" fillId="13" borderId="35" xfId="2" applyNumberFormat="1" applyFont="1" applyFill="1" applyBorder="1" applyAlignment="1">
      <alignment horizontal="center" shrinkToFit="1"/>
    </xf>
    <xf numFmtId="166" fontId="26" fillId="8" borderId="35" xfId="2" applyNumberFormat="1" applyFont="1" applyFill="1" applyBorder="1" applyAlignment="1">
      <alignment horizontal="center" shrinkToFit="1"/>
    </xf>
    <xf numFmtId="9" fontId="52" fillId="2" borderId="35" xfId="1" applyFont="1" applyFill="1" applyBorder="1" applyAlignment="1">
      <alignment horizontal="center" shrinkToFit="1"/>
    </xf>
    <xf numFmtId="166" fontId="53" fillId="2" borderId="35" xfId="2" applyNumberFormat="1" applyFont="1" applyFill="1" applyBorder="1" applyAlignment="1">
      <alignment horizontal="center" shrinkToFit="1"/>
    </xf>
    <xf numFmtId="166" fontId="38" fillId="12" borderId="35" xfId="2" applyNumberFormat="1" applyFont="1" applyFill="1" applyBorder="1" applyAlignment="1">
      <alignment horizontal="center" vertical="center" shrinkToFit="1"/>
    </xf>
    <xf numFmtId="166" fontId="51" fillId="2" borderId="35" xfId="2" applyNumberFormat="1" applyFont="1" applyFill="1" applyBorder="1" applyAlignment="1">
      <alignment horizontal="center" shrinkToFit="1"/>
    </xf>
    <xf numFmtId="166" fontId="51" fillId="4" borderId="35" xfId="2" applyNumberFormat="1" applyFont="1" applyFill="1" applyBorder="1" applyAlignment="1">
      <alignment horizontal="center" vertical="center" shrinkToFit="1"/>
    </xf>
    <xf numFmtId="166" fontId="51" fillId="5" borderId="35" xfId="2" applyNumberFormat="1" applyFont="1" applyFill="1" applyBorder="1" applyAlignment="1">
      <alignment horizontal="center" vertical="center" shrinkToFit="1"/>
    </xf>
    <xf numFmtId="166" fontId="39" fillId="6" borderId="35" xfId="2" applyNumberFormat="1" applyFont="1" applyFill="1" applyBorder="1" applyAlignment="1">
      <alignment horizontal="center" vertical="center" shrinkToFit="1"/>
    </xf>
    <xf numFmtId="166" fontId="51" fillId="2" borderId="36" xfId="2" applyNumberFormat="1" applyFont="1" applyFill="1" applyBorder="1" applyAlignment="1">
      <alignment horizontal="center" shrinkToFit="1"/>
    </xf>
    <xf numFmtId="9" fontId="38" fillId="2" borderId="0" xfId="1" applyFont="1" applyFill="1" applyAlignment="1">
      <alignment horizontal="center" vertical="center"/>
    </xf>
    <xf numFmtId="9" fontId="39" fillId="2" borderId="0" xfId="1" applyFont="1" applyFill="1" applyBorder="1" applyAlignment="1">
      <alignment horizontal="center" vertical="top" shrinkToFit="1"/>
    </xf>
    <xf numFmtId="165" fontId="38" fillId="2" borderId="39" xfId="0" applyNumberFormat="1" applyFont="1" applyFill="1" applyBorder="1" applyAlignment="1">
      <alignment horizontal="center"/>
    </xf>
    <xf numFmtId="165" fontId="42" fillId="2" borderId="39" xfId="0" applyNumberFormat="1" applyFont="1" applyFill="1" applyBorder="1" applyAlignment="1">
      <alignment horizontal="center"/>
    </xf>
    <xf numFmtId="165" fontId="38" fillId="2" borderId="39" xfId="0" applyNumberFormat="1" applyFont="1" applyFill="1" applyBorder="1" applyAlignment="1">
      <alignment horizontal="left" wrapText="1"/>
    </xf>
    <xf numFmtId="165" fontId="44" fillId="2" borderId="39" xfId="0" applyNumberFormat="1" applyFont="1" applyFill="1" applyBorder="1" applyAlignment="1">
      <alignment horizontal="center" wrapText="1"/>
    </xf>
    <xf numFmtId="166" fontId="38" fillId="14" borderId="39" xfId="0" applyNumberFormat="1" applyFont="1" applyFill="1" applyBorder="1" applyAlignment="1">
      <alignment horizontal="left" shrinkToFit="1"/>
    </xf>
    <xf numFmtId="166" fontId="38" fillId="2" borderId="39" xfId="2" applyNumberFormat="1" applyFont="1" applyFill="1" applyBorder="1" applyAlignment="1">
      <alignment horizontal="center" shrinkToFit="1"/>
    </xf>
    <xf numFmtId="166" fontId="50" fillId="13" borderId="39" xfId="2" applyNumberFormat="1" applyFont="1" applyFill="1" applyBorder="1" applyAlignment="1">
      <alignment horizontal="center" shrinkToFit="1"/>
    </xf>
    <xf numFmtId="166" fontId="26" fillId="8" borderId="39" xfId="2" applyNumberFormat="1" applyFont="1" applyFill="1" applyBorder="1" applyAlignment="1">
      <alignment horizontal="center" shrinkToFit="1"/>
    </xf>
    <xf numFmtId="9" fontId="52" fillId="2" borderId="39" xfId="1" applyFont="1" applyFill="1" applyBorder="1" applyAlignment="1">
      <alignment horizontal="center" shrinkToFit="1"/>
    </xf>
    <xf numFmtId="166" fontId="53" fillId="2" borderId="39" xfId="2" applyNumberFormat="1" applyFont="1" applyFill="1" applyBorder="1" applyAlignment="1">
      <alignment horizontal="center" shrinkToFit="1"/>
    </xf>
    <xf numFmtId="166" fontId="38" fillId="12" borderId="39" xfId="2" applyNumberFormat="1" applyFont="1" applyFill="1" applyBorder="1" applyAlignment="1">
      <alignment horizontal="center" vertical="center" shrinkToFit="1"/>
    </xf>
    <xf numFmtId="166" fontId="51" fillId="2" borderId="39" xfId="2" applyNumberFormat="1" applyFont="1" applyFill="1" applyBorder="1" applyAlignment="1">
      <alignment horizontal="center" shrinkToFit="1"/>
    </xf>
    <xf numFmtId="166" fontId="39" fillId="6" borderId="39" xfId="2" applyNumberFormat="1" applyFont="1" applyFill="1" applyBorder="1" applyAlignment="1">
      <alignment horizontal="center" vertical="center" shrinkToFit="1"/>
    </xf>
    <xf numFmtId="166" fontId="51" fillId="2" borderId="40" xfId="2" applyNumberFormat="1" applyFont="1" applyFill="1" applyBorder="1" applyAlignment="1">
      <alignment horizontal="center" shrinkToFit="1"/>
    </xf>
    <xf numFmtId="166" fontId="38" fillId="2" borderId="10" xfId="0" applyNumberFormat="1" applyFont="1" applyFill="1" applyBorder="1" applyAlignment="1">
      <alignment horizontal="center" vertical="center" wrapText="1"/>
    </xf>
    <xf numFmtId="165" fontId="38" fillId="2" borderId="10" xfId="0" applyNumberFormat="1" applyFont="1" applyFill="1" applyBorder="1" applyAlignment="1">
      <alignment horizontal="center"/>
    </xf>
    <xf numFmtId="165" fontId="42" fillId="2" borderId="10" xfId="0" applyNumberFormat="1" applyFont="1" applyFill="1" applyBorder="1" applyAlignment="1">
      <alignment horizontal="center"/>
    </xf>
    <xf numFmtId="165" fontId="22" fillId="2" borderId="10" xfId="0" applyNumberFormat="1" applyFont="1" applyFill="1" applyBorder="1" applyAlignment="1">
      <alignment horizontal="center" wrapText="1"/>
    </xf>
    <xf numFmtId="166" fontId="38" fillId="14" borderId="10" xfId="0" applyNumberFormat="1" applyFont="1" applyFill="1" applyBorder="1" applyAlignment="1">
      <alignment horizontal="left" shrinkToFit="1"/>
    </xf>
    <xf numFmtId="166" fontId="38" fillId="2" borderId="10" xfId="2" applyNumberFormat="1" applyFont="1" applyFill="1" applyBorder="1" applyAlignment="1">
      <alignment horizontal="center" shrinkToFit="1"/>
    </xf>
    <xf numFmtId="166" fontId="50" fillId="13" borderId="10" xfId="2" applyNumberFormat="1" applyFont="1" applyFill="1" applyBorder="1" applyAlignment="1">
      <alignment horizontal="center" shrinkToFit="1"/>
    </xf>
    <xf numFmtId="166" fontId="26" fillId="8" borderId="10" xfId="2" applyNumberFormat="1" applyFont="1" applyFill="1" applyBorder="1" applyAlignment="1">
      <alignment horizontal="center" shrinkToFit="1"/>
    </xf>
    <xf numFmtId="9" fontId="52" fillId="2" borderId="10" xfId="1" applyFont="1" applyFill="1" applyBorder="1" applyAlignment="1">
      <alignment horizontal="center" shrinkToFit="1"/>
    </xf>
    <xf numFmtId="166" fontId="53" fillId="2" borderId="10" xfId="2" applyNumberFormat="1" applyFont="1" applyFill="1" applyBorder="1" applyAlignment="1">
      <alignment horizontal="center" vertical="center" shrinkToFit="1"/>
    </xf>
    <xf numFmtId="166" fontId="38" fillId="12" borderId="10" xfId="2" applyNumberFormat="1" applyFont="1" applyFill="1" applyBorder="1" applyAlignment="1">
      <alignment horizontal="center" vertical="center" shrinkToFit="1"/>
    </xf>
    <xf numFmtId="166" fontId="54" fillId="2" borderId="10" xfId="2" applyNumberFormat="1" applyFont="1" applyFill="1" applyBorder="1" applyAlignment="1">
      <alignment horizontal="center" shrinkToFit="1"/>
    </xf>
    <xf numFmtId="166" fontId="39" fillId="4" borderId="10" xfId="2" applyNumberFormat="1" applyFont="1" applyFill="1" applyBorder="1" applyAlignment="1">
      <alignment horizontal="center" vertical="center" shrinkToFit="1"/>
    </xf>
    <xf numFmtId="166" fontId="62" fillId="5" borderId="10" xfId="2" applyNumberFormat="1" applyFont="1" applyFill="1" applyBorder="1" applyAlignment="1">
      <alignment horizontal="center" vertical="center" shrinkToFit="1"/>
    </xf>
    <xf numFmtId="166" fontId="77" fillId="2" borderId="10" xfId="2" applyNumberFormat="1" applyFont="1" applyFill="1" applyBorder="1" applyAlignment="1">
      <alignment horizontal="center" shrinkToFit="1"/>
    </xf>
    <xf numFmtId="166" fontId="39" fillId="6" borderId="41" xfId="2" applyNumberFormat="1" applyFont="1" applyFill="1" applyBorder="1" applyAlignment="1">
      <alignment horizontal="center" vertical="center" shrinkToFit="1"/>
    </xf>
    <xf numFmtId="166" fontId="78" fillId="2" borderId="10" xfId="0" applyNumberFormat="1" applyFont="1" applyFill="1" applyBorder="1" applyAlignment="1">
      <alignment horizontal="center"/>
    </xf>
    <xf numFmtId="165" fontId="38" fillId="2" borderId="44" xfId="0" applyNumberFormat="1" applyFont="1" applyFill="1" applyBorder="1" applyAlignment="1">
      <alignment horizontal="center"/>
    </xf>
    <xf numFmtId="165" fontId="42" fillId="2" borderId="44" xfId="0" applyNumberFormat="1" applyFont="1" applyFill="1" applyBorder="1" applyAlignment="1">
      <alignment horizontal="center"/>
    </xf>
    <xf numFmtId="165" fontId="38" fillId="2" borderId="44" xfId="0" applyNumberFormat="1" applyFont="1" applyFill="1" applyBorder="1" applyAlignment="1">
      <alignment horizontal="left" wrapText="1"/>
    </xf>
    <xf numFmtId="165" fontId="44" fillId="2" borderId="44" xfId="0" applyNumberFormat="1" applyFont="1" applyFill="1" applyBorder="1" applyAlignment="1">
      <alignment horizontal="center" wrapText="1"/>
    </xf>
    <xf numFmtId="166" fontId="38" fillId="14" borderId="44" xfId="0" applyNumberFormat="1" applyFont="1" applyFill="1" applyBorder="1" applyAlignment="1">
      <alignment horizontal="left" shrinkToFit="1"/>
    </xf>
    <xf numFmtId="166" fontId="38" fillId="2" borderId="44" xfId="2" applyNumberFormat="1" applyFont="1" applyFill="1" applyBorder="1" applyAlignment="1">
      <alignment horizontal="center" shrinkToFit="1"/>
    </xf>
    <xf numFmtId="166" fontId="50" fillId="13" borderId="44" xfId="2" applyNumberFormat="1" applyFont="1" applyFill="1" applyBorder="1" applyAlignment="1">
      <alignment horizontal="center" shrinkToFit="1"/>
    </xf>
    <xf numFmtId="166" fontId="26" fillId="8" borderId="44" xfId="2" applyNumberFormat="1" applyFont="1" applyFill="1" applyBorder="1" applyAlignment="1">
      <alignment horizontal="center" shrinkToFit="1"/>
    </xf>
    <xf numFmtId="9" fontId="52" fillId="2" borderId="44" xfId="1" applyFont="1" applyFill="1" applyBorder="1" applyAlignment="1">
      <alignment horizontal="center" shrinkToFit="1"/>
    </xf>
    <xf numFmtId="166" fontId="53" fillId="2" borderId="44" xfId="2" applyNumberFormat="1" applyFont="1" applyFill="1" applyBorder="1" applyAlignment="1">
      <alignment horizontal="center" shrinkToFit="1"/>
    </xf>
    <xf numFmtId="166" fontId="38" fillId="12" borderId="44" xfId="2" applyNumberFormat="1" applyFont="1" applyFill="1" applyBorder="1" applyAlignment="1">
      <alignment horizontal="center" vertical="center" shrinkToFit="1"/>
    </xf>
    <xf numFmtId="166" fontId="51" fillId="2" borderId="44" xfId="2" applyNumberFormat="1" applyFont="1" applyFill="1" applyBorder="1" applyAlignment="1">
      <alignment horizontal="center" shrinkToFit="1"/>
    </xf>
    <xf numFmtId="166" fontId="39" fillId="6" borderId="44" xfId="2" applyNumberFormat="1" applyFont="1" applyFill="1" applyBorder="1" applyAlignment="1">
      <alignment horizontal="center" vertical="center" shrinkToFit="1"/>
    </xf>
    <xf numFmtId="166" fontId="51" fillId="2" borderId="45" xfId="2" applyNumberFormat="1" applyFont="1" applyFill="1" applyBorder="1" applyAlignment="1">
      <alignment horizontal="center" shrinkToFit="1"/>
    </xf>
    <xf numFmtId="0" fontId="81" fillId="0" borderId="46" xfId="0" applyFont="1" applyBorder="1"/>
    <xf numFmtId="166" fontId="82" fillId="15" borderId="46" xfId="0" applyNumberFormat="1" applyFont="1" applyFill="1" applyBorder="1" applyAlignment="1">
      <alignment horizontal="center" vertical="center" shrinkToFit="1"/>
    </xf>
    <xf numFmtId="166" fontId="82" fillId="15" borderId="47" xfId="0" applyNumberFormat="1" applyFont="1" applyFill="1" applyBorder="1" applyAlignment="1">
      <alignment horizontal="center" vertical="center" shrinkToFit="1"/>
    </xf>
    <xf numFmtId="166" fontId="83" fillId="15" borderId="47" xfId="0" applyNumberFormat="1" applyFont="1" applyFill="1" applyBorder="1" applyAlignment="1">
      <alignment horizontal="center" vertical="center" shrinkToFit="1"/>
    </xf>
    <xf numFmtId="166" fontId="83" fillId="15" borderId="46" xfId="0" applyNumberFormat="1" applyFont="1" applyFill="1" applyBorder="1" applyAlignment="1">
      <alignment horizontal="center" vertical="center" shrinkToFit="1"/>
    </xf>
    <xf numFmtId="166" fontId="84" fillId="15" borderId="46" xfId="0" applyNumberFormat="1" applyFont="1" applyFill="1" applyBorder="1" applyAlignment="1">
      <alignment horizontal="center" vertical="center" shrinkToFit="1"/>
    </xf>
    <xf numFmtId="166" fontId="85" fillId="4" borderId="46" xfId="0" applyNumberFormat="1" applyFont="1" applyFill="1" applyBorder="1" applyAlignment="1">
      <alignment horizontal="center" vertical="center" shrinkToFit="1"/>
    </xf>
    <xf numFmtId="166" fontId="86" fillId="15" borderId="46" xfId="0" applyNumberFormat="1" applyFont="1" applyFill="1" applyBorder="1" applyAlignment="1">
      <alignment vertical="center"/>
    </xf>
    <xf numFmtId="166" fontId="86" fillId="15" borderId="46" xfId="0" applyNumberFormat="1" applyFont="1" applyFill="1" applyBorder="1" applyAlignment="1">
      <alignment horizontal="center" vertical="center"/>
    </xf>
    <xf numFmtId="166" fontId="87" fillId="5" borderId="46" xfId="0" applyNumberFormat="1" applyFont="1" applyFill="1" applyBorder="1" applyAlignment="1">
      <alignment horizontal="center" vertical="center" shrinkToFit="1"/>
    </xf>
    <xf numFmtId="166" fontId="83" fillId="11" borderId="46" xfId="0" applyNumberFormat="1" applyFont="1" applyFill="1" applyBorder="1" applyAlignment="1">
      <alignment horizontal="center" vertical="center" shrinkToFit="1"/>
    </xf>
    <xf numFmtId="166" fontId="84" fillId="11" borderId="46" xfId="0" applyNumberFormat="1" applyFont="1" applyFill="1" applyBorder="1" applyAlignment="1">
      <alignment horizontal="center" vertical="center" shrinkToFit="1"/>
    </xf>
    <xf numFmtId="166" fontId="83" fillId="0" borderId="46" xfId="0" applyNumberFormat="1" applyFont="1" applyBorder="1" applyAlignment="1">
      <alignment horizontal="center" vertical="center" shrinkToFit="1"/>
    </xf>
    <xf numFmtId="166" fontId="90" fillId="15" borderId="46" xfId="0" applyNumberFormat="1" applyFont="1" applyFill="1" applyBorder="1" applyAlignment="1">
      <alignment vertical="center" shrinkToFit="1"/>
    </xf>
    <xf numFmtId="166" fontId="83" fillId="15" borderId="46" xfId="0" applyNumberFormat="1" applyFont="1" applyFill="1" applyBorder="1" applyAlignment="1">
      <alignment vertical="center" shrinkToFit="1"/>
    </xf>
    <xf numFmtId="166" fontId="83" fillId="15" borderId="47" xfId="0" applyNumberFormat="1" applyFont="1" applyFill="1" applyBorder="1" applyAlignment="1">
      <alignment vertical="center" shrinkToFit="1"/>
    </xf>
    <xf numFmtId="166" fontId="83" fillId="15" borderId="49" xfId="0" applyNumberFormat="1" applyFont="1" applyFill="1" applyBorder="1" applyAlignment="1">
      <alignment vertical="center" shrinkToFit="1"/>
    </xf>
    <xf numFmtId="166" fontId="89" fillId="15" borderId="46" xfId="0" applyNumberFormat="1" applyFont="1" applyFill="1" applyBorder="1" applyAlignment="1">
      <alignment horizontal="center" vertical="center" shrinkToFit="1"/>
    </xf>
    <xf numFmtId="166" fontId="90" fillId="15" borderId="46" xfId="0" applyNumberFormat="1" applyFont="1" applyFill="1" applyBorder="1" applyAlignment="1">
      <alignment horizontal="center" vertical="center" shrinkToFit="1"/>
    </xf>
    <xf numFmtId="166" fontId="88" fillId="15" borderId="47" xfId="0" applyNumberFormat="1" applyFont="1" applyFill="1" applyBorder="1" applyAlignment="1">
      <alignment vertical="center" shrinkToFit="1"/>
    </xf>
    <xf numFmtId="166" fontId="88" fillId="15" borderId="46" xfId="0" applyNumberFormat="1" applyFont="1" applyFill="1" applyBorder="1" applyAlignment="1">
      <alignment vertical="center" shrinkToFit="1"/>
    </xf>
    <xf numFmtId="166" fontId="88" fillId="15" borderId="47" xfId="0" applyNumberFormat="1" applyFont="1" applyFill="1" applyBorder="1" applyAlignment="1">
      <alignment horizontal="center" vertical="center" shrinkToFit="1"/>
    </xf>
    <xf numFmtId="165" fontId="83" fillId="15" borderId="46" xfId="0" applyNumberFormat="1" applyFont="1" applyFill="1" applyBorder="1" applyAlignment="1">
      <alignment horizontal="center" vertical="center" shrinkToFit="1"/>
    </xf>
    <xf numFmtId="166" fontId="88" fillId="15" borderId="46" xfId="0" applyNumberFormat="1" applyFont="1" applyFill="1" applyBorder="1" applyAlignment="1">
      <alignment shrinkToFit="1"/>
    </xf>
    <xf numFmtId="166" fontId="88" fillId="12" borderId="46" xfId="0" applyNumberFormat="1" applyFont="1" applyFill="1" applyBorder="1" applyAlignment="1">
      <alignment shrinkToFit="1"/>
    </xf>
    <xf numFmtId="0" fontId="91" fillId="0" borderId="46" xfId="0" applyFont="1" applyBorder="1" applyAlignment="1">
      <alignment horizontal="center" vertical="center" wrapText="1"/>
    </xf>
    <xf numFmtId="166" fontId="92" fillId="0" borderId="46" xfId="0" applyNumberFormat="1" applyFont="1" applyBorder="1" applyAlignment="1">
      <alignment horizontal="center" vertical="center" wrapText="1"/>
    </xf>
    <xf numFmtId="166" fontId="92" fillId="16" borderId="46" xfId="0" applyNumberFormat="1" applyFont="1" applyFill="1" applyBorder="1" applyAlignment="1">
      <alignment horizontal="center" vertical="center" wrapText="1"/>
    </xf>
    <xf numFmtId="166" fontId="92" fillId="15" borderId="46" xfId="0" applyNumberFormat="1" applyFont="1" applyFill="1" applyBorder="1" applyAlignment="1">
      <alignment horizontal="center" vertical="center" wrapText="1"/>
    </xf>
    <xf numFmtId="166" fontId="93" fillId="15" borderId="46" xfId="0" applyNumberFormat="1" applyFont="1" applyFill="1" applyBorder="1" applyAlignment="1">
      <alignment horizontal="center" vertical="center" wrapText="1"/>
    </xf>
    <xf numFmtId="166" fontId="92" fillId="17" borderId="46" xfId="0" applyNumberFormat="1" applyFont="1" applyFill="1" applyBorder="1" applyAlignment="1">
      <alignment horizontal="center" vertical="center" wrapText="1"/>
    </xf>
    <xf numFmtId="166" fontId="92" fillId="18" borderId="46" xfId="0" applyNumberFormat="1" applyFont="1" applyFill="1" applyBorder="1" applyAlignment="1">
      <alignment horizontal="center" vertical="center" wrapText="1"/>
    </xf>
    <xf numFmtId="166" fontId="93" fillId="5" borderId="46" xfId="0" applyNumberFormat="1" applyFont="1" applyFill="1" applyBorder="1" applyAlignment="1">
      <alignment horizontal="center" vertical="center" wrapText="1"/>
    </xf>
    <xf numFmtId="0" fontId="93" fillId="9" borderId="46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94" fillId="0" borderId="46" xfId="0" applyFont="1" applyBorder="1" applyAlignment="1">
      <alignment horizontal="center" vertical="center"/>
    </xf>
    <xf numFmtId="166" fontId="95" fillId="16" borderId="46" xfId="0" applyNumberFormat="1" applyFont="1" applyFill="1" applyBorder="1" applyAlignment="1">
      <alignment horizontal="center" vertical="center" wrapText="1"/>
    </xf>
    <xf numFmtId="166" fontId="93" fillId="17" borderId="46" xfId="0" applyNumberFormat="1" applyFont="1" applyFill="1" applyBorder="1" applyAlignment="1">
      <alignment horizontal="center" vertical="center" wrapText="1"/>
    </xf>
    <xf numFmtId="166" fontId="93" fillId="18" borderId="46" xfId="0" applyNumberFormat="1" applyFont="1" applyFill="1" applyBorder="1" applyAlignment="1">
      <alignment horizontal="center" vertical="center" wrapText="1"/>
    </xf>
    <xf numFmtId="0" fontId="22" fillId="0" borderId="0" xfId="0" applyFont="1"/>
    <xf numFmtId="166" fontId="22" fillId="0" borderId="0" xfId="4" applyNumberFormat="1" applyFont="1"/>
    <xf numFmtId="2" fontId="96" fillId="2" borderId="0" xfId="0" applyNumberFormat="1" applyFont="1" applyFill="1" applyAlignment="1">
      <alignment horizontal="center" vertical="center"/>
    </xf>
    <xf numFmtId="43" fontId="88" fillId="15" borderId="46" xfId="0" applyNumberFormat="1" applyFont="1" applyFill="1" applyBorder="1" applyAlignment="1">
      <alignment vertical="center" shrinkToFit="1"/>
    </xf>
    <xf numFmtId="0" fontId="38" fillId="2" borderId="48" xfId="0" applyFont="1" applyFill="1" applyBorder="1" applyAlignment="1">
      <alignment wrapText="1"/>
    </xf>
    <xf numFmtId="166" fontId="38" fillId="2" borderId="46" xfId="0" applyNumberFormat="1" applyFont="1" applyFill="1" applyBorder="1" applyAlignment="1">
      <alignment horizontal="left" vertical="center" wrapText="1"/>
    </xf>
    <xf numFmtId="165" fontId="38" fillId="2" borderId="46" xfId="0" applyNumberFormat="1" applyFont="1" applyFill="1" applyBorder="1" applyAlignment="1">
      <alignment horizontal="center"/>
    </xf>
    <xf numFmtId="1" fontId="93" fillId="5" borderId="46" xfId="0" applyNumberFormat="1" applyFont="1" applyFill="1" applyBorder="1" applyAlignment="1">
      <alignment horizontal="center" vertical="center" wrapText="1"/>
    </xf>
    <xf numFmtId="0" fontId="22" fillId="0" borderId="0" xfId="1" applyNumberFormat="1" applyFont="1"/>
    <xf numFmtId="9" fontId="93" fillId="9" borderId="46" xfId="0" applyNumberFormat="1" applyFont="1" applyFill="1" applyBorder="1" applyAlignment="1">
      <alignment horizontal="center" vertical="center"/>
    </xf>
    <xf numFmtId="167" fontId="0" fillId="0" borderId="0" xfId="0" applyNumberFormat="1"/>
    <xf numFmtId="1" fontId="22" fillId="0" borderId="0" xfId="0" applyNumberFormat="1" applyFont="1"/>
    <xf numFmtId="16" fontId="81" fillId="0" borderId="46" xfId="0" quotePrefix="1" applyNumberFormat="1" applyFont="1" applyBorder="1" applyAlignment="1">
      <alignment horizontal="center" vertical="center"/>
    </xf>
    <xf numFmtId="9" fontId="39" fillId="3" borderId="11" xfId="1" applyFont="1" applyFill="1" applyBorder="1" applyAlignment="1">
      <alignment horizontal="center" vertical="center"/>
    </xf>
    <xf numFmtId="9" fontId="39" fillId="3" borderId="44" xfId="1" applyFont="1" applyFill="1" applyBorder="1" applyAlignment="1">
      <alignment horizontal="center" vertical="center"/>
    </xf>
    <xf numFmtId="9" fontId="39" fillId="3" borderId="10" xfId="1" applyFont="1" applyFill="1" applyBorder="1" applyAlignment="1">
      <alignment horizontal="center" vertical="center"/>
    </xf>
    <xf numFmtId="9" fontId="34" fillId="13" borderId="35" xfId="1" applyFont="1" applyFill="1" applyBorder="1" applyAlignment="1">
      <alignment horizontal="center" vertical="center" shrinkToFit="1"/>
    </xf>
    <xf numFmtId="9" fontId="34" fillId="13" borderId="39" xfId="1" applyFont="1" applyFill="1" applyBorder="1" applyAlignment="1">
      <alignment horizontal="center" vertical="center" shrinkToFit="1"/>
    </xf>
    <xf numFmtId="9" fontId="34" fillId="13" borderId="44" xfId="1" applyFont="1" applyFill="1" applyBorder="1" applyAlignment="1">
      <alignment horizontal="center" vertical="center" shrinkToFit="1"/>
    </xf>
    <xf numFmtId="9" fontId="34" fillId="13" borderId="10" xfId="1" applyFont="1" applyFill="1" applyBorder="1" applyAlignment="1">
      <alignment horizontal="center" vertical="center" shrinkToFit="1"/>
    </xf>
    <xf numFmtId="9" fontId="34" fillId="7" borderId="35" xfId="1" applyFont="1" applyFill="1" applyBorder="1" applyAlignment="1">
      <alignment horizontal="center" vertical="center" shrinkToFit="1"/>
    </xf>
    <xf numFmtId="9" fontId="34" fillId="7" borderId="39" xfId="1" applyFont="1" applyFill="1" applyBorder="1" applyAlignment="1">
      <alignment horizontal="center" vertical="center" shrinkToFit="1"/>
    </xf>
    <xf numFmtId="9" fontId="34" fillId="7" borderId="44" xfId="1" applyFont="1" applyFill="1" applyBorder="1" applyAlignment="1">
      <alignment horizontal="center" vertical="center" shrinkToFit="1"/>
    </xf>
    <xf numFmtId="9" fontId="34" fillId="7" borderId="10" xfId="1" applyFont="1" applyFill="1" applyBorder="1" applyAlignment="1">
      <alignment horizontal="center" vertical="center" shrinkToFit="1"/>
    </xf>
    <xf numFmtId="166" fontId="22" fillId="0" borderId="0" xfId="0" applyNumberFormat="1" applyFont="1"/>
    <xf numFmtId="170" fontId="22" fillId="0" borderId="0" xfId="1" applyNumberFormat="1" applyFont="1"/>
    <xf numFmtId="170" fontId="22" fillId="0" borderId="0" xfId="0" applyNumberFormat="1" applyFont="1"/>
    <xf numFmtId="1" fontId="22" fillId="9" borderId="0" xfId="1" applyNumberFormat="1" applyFont="1" applyFill="1"/>
    <xf numFmtId="168" fontId="22" fillId="0" borderId="0" xfId="1" applyNumberFormat="1" applyFont="1"/>
    <xf numFmtId="166" fontId="97" fillId="15" borderId="46" xfId="0" applyNumberFormat="1" applyFont="1" applyFill="1" applyBorder="1" applyAlignment="1">
      <alignment horizontal="left" vertical="center" wrapText="1"/>
    </xf>
    <xf numFmtId="166" fontId="38" fillId="2" borderId="46" xfId="0" quotePrefix="1" applyNumberFormat="1" applyFont="1" applyFill="1" applyBorder="1" applyAlignment="1">
      <alignment horizontal="left" vertical="center" wrapText="1"/>
    </xf>
    <xf numFmtId="167" fontId="22" fillId="0" borderId="0" xfId="0" applyNumberFormat="1" applyFont="1"/>
    <xf numFmtId="171" fontId="22" fillId="0" borderId="0" xfId="0" applyNumberFormat="1" applyFont="1"/>
    <xf numFmtId="10" fontId="22" fillId="0" borderId="0" xfId="0" applyNumberFormat="1" applyFont="1"/>
    <xf numFmtId="9" fontId="22" fillId="0" borderId="0" xfId="1" applyFont="1"/>
    <xf numFmtId="0" fontId="44" fillId="0" borderId="46" xfId="0" applyFont="1" applyBorder="1"/>
    <xf numFmtId="0" fontId="22" fillId="0" borderId="0" xfId="0" applyFont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9" fontId="22" fillId="0" borderId="46" xfId="1" applyFont="1" applyBorder="1" applyAlignment="1">
      <alignment horizontal="center" vertical="center"/>
    </xf>
    <xf numFmtId="0" fontId="98" fillId="0" borderId="46" xfId="0" applyFont="1" applyBorder="1" applyAlignment="1">
      <alignment horizontal="center" vertical="center"/>
    </xf>
    <xf numFmtId="1" fontId="22" fillId="0" borderId="46" xfId="0" applyNumberFormat="1" applyFont="1" applyBorder="1" applyAlignment="1">
      <alignment horizontal="center" vertical="center"/>
    </xf>
    <xf numFmtId="0" fontId="29" fillId="9" borderId="46" xfId="0" applyFont="1" applyFill="1" applyBorder="1" applyAlignment="1">
      <alignment horizontal="center" vertical="center"/>
    </xf>
    <xf numFmtId="9" fontId="29" fillId="9" borderId="46" xfId="1" applyFont="1" applyFill="1" applyBorder="1" applyAlignment="1">
      <alignment horizontal="center" vertical="center"/>
    </xf>
    <xf numFmtId="166" fontId="29" fillId="0" borderId="46" xfId="4" applyNumberFormat="1" applyFont="1" applyBorder="1" applyAlignment="1">
      <alignment horizontal="center" vertical="center"/>
    </xf>
    <xf numFmtId="168" fontId="29" fillId="0" borderId="46" xfId="1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1" fontId="22" fillId="19" borderId="46" xfId="0" applyNumberFormat="1" applyFont="1" applyFill="1" applyBorder="1" applyAlignment="1">
      <alignment horizontal="center" vertical="center"/>
    </xf>
    <xf numFmtId="0" fontId="22" fillId="19" borderId="46" xfId="0" applyFont="1" applyFill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33" fillId="0" borderId="46" xfId="0" applyFont="1" applyBorder="1" applyAlignment="1">
      <alignment horizontal="center"/>
    </xf>
    <xf numFmtId="0" fontId="33" fillId="0" borderId="0" xfId="0" applyFont="1"/>
    <xf numFmtId="165" fontId="99" fillId="2" borderId="4" xfId="0" applyNumberFormat="1" applyFont="1" applyFill="1" applyBorder="1" applyAlignment="1">
      <alignment horizontal="left" vertical="center"/>
    </xf>
    <xf numFmtId="167" fontId="99" fillId="2" borderId="11" xfId="2" applyNumberFormat="1" applyFont="1" applyFill="1" applyBorder="1" applyAlignment="1">
      <alignment horizontal="center" vertical="center"/>
    </xf>
    <xf numFmtId="166" fontId="100" fillId="0" borderId="4" xfId="0" applyNumberFormat="1" applyFont="1" applyBorder="1" applyAlignment="1">
      <alignment vertical="center"/>
    </xf>
    <xf numFmtId="166" fontId="99" fillId="2" borderId="4" xfId="2" applyNumberFormat="1" applyFont="1" applyFill="1" applyBorder="1" applyAlignment="1">
      <alignment horizontal="center" vertical="center" shrinkToFit="1"/>
    </xf>
    <xf numFmtId="166" fontId="99" fillId="2" borderId="10" xfId="2" applyNumberFormat="1" applyFont="1" applyFill="1" applyBorder="1" applyAlignment="1">
      <alignment horizontal="center" vertical="center" shrinkToFit="1"/>
    </xf>
    <xf numFmtId="166" fontId="22" fillId="2" borderId="10" xfId="2" applyNumberFormat="1" applyFont="1" applyFill="1" applyBorder="1" applyAlignment="1">
      <alignment horizontal="center" vertical="center" shrinkToFit="1"/>
    </xf>
    <xf numFmtId="166" fontId="22" fillId="2" borderId="4" xfId="2" applyNumberFormat="1" applyFont="1" applyFill="1" applyBorder="1" applyAlignment="1">
      <alignment horizontal="center" vertical="center" shrinkToFit="1"/>
    </xf>
    <xf numFmtId="166" fontId="44" fillId="2" borderId="4" xfId="2" applyNumberFormat="1" applyFont="1" applyFill="1" applyBorder="1" applyAlignment="1">
      <alignment horizontal="center" vertical="center" shrinkToFit="1"/>
    </xf>
    <xf numFmtId="166" fontId="44" fillId="2" borderId="10" xfId="2" applyNumberFormat="1" applyFont="1" applyFill="1" applyBorder="1" applyAlignment="1">
      <alignment horizontal="center" vertical="center" shrinkToFit="1"/>
    </xf>
    <xf numFmtId="166" fontId="44" fillId="2" borderId="47" xfId="2" applyNumberFormat="1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left" vertical="center"/>
    </xf>
    <xf numFmtId="167" fontId="29" fillId="2" borderId="11" xfId="2" applyNumberFormat="1" applyFont="1" applyFill="1" applyBorder="1" applyAlignment="1">
      <alignment horizontal="center" vertical="center"/>
    </xf>
    <xf numFmtId="165" fontId="99" fillId="2" borderId="4" xfId="2" applyNumberFormat="1" applyFont="1" applyFill="1" applyBorder="1" applyAlignment="1">
      <alignment horizontal="center" vertical="center" shrinkToFit="1"/>
    </xf>
    <xf numFmtId="0" fontId="101" fillId="2" borderId="4" xfId="0" applyFont="1" applyFill="1" applyBorder="1" applyAlignment="1">
      <alignment horizontal="left" vertical="center"/>
    </xf>
    <xf numFmtId="167" fontId="101" fillId="2" borderId="11" xfId="2" applyNumberFormat="1" applyFont="1" applyFill="1" applyBorder="1" applyAlignment="1">
      <alignment horizontal="center" vertical="center"/>
    </xf>
    <xf numFmtId="165" fontId="102" fillId="4" borderId="4" xfId="0" applyNumberFormat="1" applyFont="1" applyFill="1" applyBorder="1" applyAlignment="1">
      <alignment horizontal="left" vertical="center"/>
    </xf>
    <xf numFmtId="167" fontId="102" fillId="4" borderId="11" xfId="2" applyNumberFormat="1" applyFont="1" applyFill="1" applyBorder="1" applyAlignment="1">
      <alignment horizontal="center" vertical="center"/>
    </xf>
    <xf numFmtId="166" fontId="98" fillId="4" borderId="4" xfId="2" applyNumberFormat="1" applyFont="1" applyFill="1" applyBorder="1" applyAlignment="1">
      <alignment horizontal="center" vertical="center" shrinkToFit="1"/>
    </xf>
    <xf numFmtId="166" fontId="29" fillId="4" borderId="4" xfId="2" applyNumberFormat="1" applyFont="1" applyFill="1" applyBorder="1" applyAlignment="1">
      <alignment horizontal="center" vertical="center" shrinkToFit="1"/>
    </xf>
    <xf numFmtId="166" fontId="103" fillId="4" borderId="4" xfId="2" applyNumberFormat="1" applyFont="1" applyFill="1" applyBorder="1" applyAlignment="1">
      <alignment horizontal="center" vertical="center" shrinkToFit="1"/>
    </xf>
    <xf numFmtId="166" fontId="103" fillId="4" borderId="46" xfId="2" applyNumberFormat="1" applyFont="1" applyFill="1" applyBorder="1" applyAlignment="1">
      <alignment horizontal="center" vertical="center" shrinkToFit="1"/>
    </xf>
    <xf numFmtId="165" fontId="29" fillId="2" borderId="4" xfId="0" applyNumberFormat="1" applyFont="1" applyFill="1" applyBorder="1" applyAlignment="1">
      <alignment horizontal="left" vertical="center"/>
    </xf>
    <xf numFmtId="165" fontId="101" fillId="2" borderId="4" xfId="0" applyNumberFormat="1" applyFont="1" applyFill="1" applyBorder="1" applyAlignment="1">
      <alignment horizontal="left" vertical="center"/>
    </xf>
    <xf numFmtId="165" fontId="29" fillId="5" borderId="4" xfId="0" applyNumberFormat="1" applyFont="1" applyFill="1" applyBorder="1" applyAlignment="1">
      <alignment horizontal="left" vertical="center"/>
    </xf>
    <xf numFmtId="167" fontId="29" fillId="5" borderId="11" xfId="2" applyNumberFormat="1" applyFont="1" applyFill="1" applyBorder="1" applyAlignment="1">
      <alignment horizontal="center" vertical="center"/>
    </xf>
    <xf numFmtId="166" fontId="104" fillId="5" borderId="4" xfId="2" applyNumberFormat="1" applyFont="1" applyFill="1" applyBorder="1" applyAlignment="1">
      <alignment horizontal="center" vertical="center" shrinkToFit="1"/>
    </xf>
    <xf numFmtId="166" fontId="105" fillId="5" borderId="4" xfId="2" applyNumberFormat="1" applyFont="1" applyFill="1" applyBorder="1" applyAlignment="1">
      <alignment horizontal="center" vertical="center" shrinkToFit="1"/>
    </xf>
    <xf numFmtId="166" fontId="106" fillId="5" borderId="4" xfId="2" applyNumberFormat="1" applyFont="1" applyFill="1" applyBorder="1" applyAlignment="1">
      <alignment horizontal="center" vertical="center" shrinkToFit="1"/>
    </xf>
    <xf numFmtId="166" fontId="106" fillId="5" borderId="46" xfId="2" applyNumberFormat="1" applyFont="1" applyFill="1" applyBorder="1" applyAlignment="1">
      <alignment horizontal="center" vertical="center" shrinkToFit="1"/>
    </xf>
    <xf numFmtId="165" fontId="22" fillId="2" borderId="4" xfId="0" applyNumberFormat="1" applyFont="1" applyFill="1" applyBorder="1" applyAlignment="1">
      <alignment horizontal="left" vertical="center"/>
    </xf>
    <xf numFmtId="167" fontId="22" fillId="2" borderId="11" xfId="2" applyNumberFormat="1" applyFont="1" applyFill="1" applyBorder="1" applyAlignment="1">
      <alignment horizontal="center" vertical="center"/>
    </xf>
    <xf numFmtId="166" fontId="44" fillId="2" borderId="46" xfId="2" applyNumberFormat="1" applyFont="1" applyFill="1" applyBorder="1" applyAlignment="1">
      <alignment horizontal="center" vertical="center" shrinkToFit="1"/>
    </xf>
    <xf numFmtId="165" fontId="107" fillId="2" borderId="4" xfId="0" applyNumberFormat="1" applyFont="1" applyFill="1" applyBorder="1" applyAlignment="1">
      <alignment horizontal="left" vertical="center"/>
    </xf>
    <xf numFmtId="167" fontId="107" fillId="2" borderId="11" xfId="2" applyNumberFormat="1" applyFont="1" applyFill="1" applyBorder="1" applyAlignment="1">
      <alignment horizontal="center" vertical="center"/>
    </xf>
    <xf numFmtId="165" fontId="108" fillId="2" borderId="11" xfId="0" applyNumberFormat="1" applyFont="1" applyFill="1" applyBorder="1" applyAlignment="1">
      <alignment horizontal="center" vertical="center" wrapText="1"/>
    </xf>
    <xf numFmtId="166" fontId="22" fillId="0" borderId="4" xfId="0" applyNumberFormat="1" applyFont="1" applyBorder="1" applyAlignment="1">
      <alignment horizontal="center" vertical="center" wrapText="1"/>
    </xf>
    <xf numFmtId="166" fontId="44" fillId="2" borderId="4" xfId="0" applyNumberFormat="1" applyFont="1" applyFill="1" applyBorder="1" applyAlignment="1">
      <alignment horizontal="center" vertical="center" wrapText="1"/>
    </xf>
    <xf numFmtId="0" fontId="109" fillId="9" borderId="11" xfId="0" applyFont="1" applyFill="1" applyBorder="1" applyAlignment="1">
      <alignment horizontal="center" vertical="center"/>
    </xf>
    <xf numFmtId="166" fontId="44" fillId="2" borderId="4" xfId="2" applyNumberFormat="1" applyFont="1" applyFill="1" applyBorder="1" applyAlignment="1">
      <alignment vertical="center"/>
    </xf>
    <xf numFmtId="0" fontId="22" fillId="2" borderId="11" xfId="0" applyFont="1" applyFill="1" applyBorder="1" applyAlignment="1">
      <alignment horizontal="center" vertical="center"/>
    </xf>
    <xf numFmtId="166" fontId="44" fillId="2" borderId="4" xfId="1" applyNumberFormat="1" applyFont="1" applyFill="1" applyBorder="1" applyAlignment="1">
      <alignment horizontal="center" vertical="center"/>
    </xf>
    <xf numFmtId="167" fontId="99" fillId="2" borderId="10" xfId="2" applyNumberFormat="1" applyFont="1" applyFill="1" applyBorder="1" applyAlignment="1">
      <alignment horizontal="center" vertical="center" shrinkToFit="1"/>
    </xf>
    <xf numFmtId="166" fontId="44" fillId="2" borderId="4" xfId="2" applyNumberFormat="1" applyFont="1" applyFill="1" applyBorder="1"/>
    <xf numFmtId="0" fontId="22" fillId="12" borderId="11" xfId="0" applyFont="1" applyFill="1" applyBorder="1" applyAlignment="1">
      <alignment horizontal="center" vertical="center"/>
    </xf>
    <xf numFmtId="169" fontId="110" fillId="12" borderId="4" xfId="2" applyNumberFormat="1" applyFont="1" applyFill="1" applyBorder="1"/>
    <xf numFmtId="169" fontId="109" fillId="12" borderId="4" xfId="2" applyNumberFormat="1" applyFont="1" applyFill="1" applyBorder="1"/>
    <xf numFmtId="169" fontId="110" fillId="12" borderId="46" xfId="2" applyNumberFormat="1" applyFont="1" applyFill="1" applyBorder="1"/>
    <xf numFmtId="0" fontId="109" fillId="12" borderId="11" xfId="0" applyFont="1" applyFill="1" applyBorder="1" applyAlignment="1">
      <alignment horizontal="center" vertical="center"/>
    </xf>
    <xf numFmtId="0" fontId="29" fillId="0" borderId="0" xfId="0" applyFont="1"/>
    <xf numFmtId="0" fontId="29" fillId="0" borderId="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172" fontId="22" fillId="0" borderId="0" xfId="0" applyNumberFormat="1" applyFont="1"/>
    <xf numFmtId="166" fontId="100" fillId="0" borderId="46" xfId="0" applyNumberFormat="1" applyFont="1" applyBorder="1" applyAlignment="1">
      <alignment vertical="center"/>
    </xf>
    <xf numFmtId="166" fontId="39" fillId="4" borderId="39" xfId="2" applyNumberFormat="1" applyFont="1" applyFill="1" applyBorder="1" applyAlignment="1">
      <alignment horizontal="center" vertical="center" shrinkToFit="1"/>
    </xf>
    <xf numFmtId="166" fontId="39" fillId="4" borderId="44" xfId="2" applyNumberFormat="1" applyFont="1" applyFill="1" applyBorder="1" applyAlignment="1">
      <alignment horizontal="center" vertical="center" shrinkToFit="1"/>
    </xf>
    <xf numFmtId="166" fontId="39" fillId="5" borderId="39" xfId="2" applyNumberFormat="1" applyFont="1" applyFill="1" applyBorder="1" applyAlignment="1">
      <alignment horizontal="center" vertical="center" shrinkToFit="1"/>
    </xf>
    <xf numFmtId="166" fontId="39" fillId="5" borderId="44" xfId="2" applyNumberFormat="1" applyFont="1" applyFill="1" applyBorder="1" applyAlignment="1">
      <alignment horizontal="center" vertical="center" shrinkToFit="1"/>
    </xf>
    <xf numFmtId="0" fontId="33" fillId="0" borderId="48" xfId="0" applyFont="1" applyBorder="1"/>
    <xf numFmtId="9" fontId="22" fillId="0" borderId="0" xfId="1" applyFont="1" applyAlignment="1">
      <alignment horizontal="center" vertical="center"/>
    </xf>
    <xf numFmtId="173" fontId="22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170" fontId="22" fillId="0" borderId="0" xfId="0" applyNumberFormat="1" applyFont="1" applyAlignment="1">
      <alignment horizontal="center" vertical="center"/>
    </xf>
    <xf numFmtId="166" fontId="90" fillId="15" borderId="47" xfId="0" applyNumberFormat="1" applyFont="1" applyFill="1" applyBorder="1" applyAlignment="1">
      <alignment shrinkToFit="1"/>
    </xf>
    <xf numFmtId="166" fontId="90" fillId="15" borderId="47" xfId="0" applyNumberFormat="1" applyFont="1" applyFill="1" applyBorder="1" applyAlignment="1">
      <alignment horizontal="center" vertical="center" shrinkToFit="1"/>
    </xf>
    <xf numFmtId="1" fontId="83" fillId="15" borderId="46" xfId="0" applyNumberFormat="1" applyFont="1" applyFill="1" applyBorder="1" applyAlignment="1">
      <alignment vertical="center" shrinkToFit="1"/>
    </xf>
    <xf numFmtId="2" fontId="22" fillId="0" borderId="0" xfId="0" applyNumberFormat="1" applyFont="1" applyAlignment="1">
      <alignment horizontal="center" vertical="center"/>
    </xf>
    <xf numFmtId="165" fontId="92" fillId="0" borderId="46" xfId="0" applyNumberFormat="1" applyFont="1" applyBorder="1" applyAlignment="1">
      <alignment horizontal="center" vertical="center" wrapText="1"/>
    </xf>
    <xf numFmtId="0" fontId="22" fillId="0" borderId="0" xfId="0" quotePrefix="1" applyFont="1" applyAlignment="1">
      <alignment horizontal="center" vertical="center"/>
    </xf>
    <xf numFmtId="3" fontId="0" fillId="0" borderId="0" xfId="0" applyNumberFormat="1"/>
    <xf numFmtId="166" fontId="90" fillId="15" borderId="46" xfId="0" applyNumberFormat="1" applyFont="1" applyFill="1" applyBorder="1" applyAlignment="1">
      <alignment shrinkToFit="1"/>
    </xf>
    <xf numFmtId="0" fontId="22" fillId="9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left" vertical="center"/>
    </xf>
    <xf numFmtId="165" fontId="7" fillId="2" borderId="4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 wrapText="1"/>
    </xf>
    <xf numFmtId="165" fontId="7" fillId="11" borderId="4" xfId="0" applyNumberFormat="1" applyFont="1" applyFill="1" applyBorder="1" applyAlignment="1">
      <alignment horizontal="center" vertical="center" wrapText="1"/>
    </xf>
    <xf numFmtId="165" fontId="15" fillId="2" borderId="4" xfId="0" applyNumberFormat="1" applyFont="1" applyFill="1" applyBorder="1" applyAlignment="1">
      <alignment horizontal="center" vertical="center" wrapText="1"/>
    </xf>
    <xf numFmtId="165" fontId="15" fillId="2" borderId="4" xfId="0" applyNumberFormat="1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 wrapText="1"/>
    </xf>
    <xf numFmtId="0" fontId="80" fillId="0" borderId="6" xfId="0" applyFont="1" applyBorder="1" applyAlignment="1">
      <alignment horizontal="center"/>
    </xf>
    <xf numFmtId="0" fontId="80" fillId="0" borderId="7" xfId="0" applyFont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33" fillId="0" borderId="12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/>
    </xf>
    <xf numFmtId="165" fontId="108" fillId="2" borderId="4" xfId="0" applyNumberFormat="1" applyFont="1" applyFill="1" applyBorder="1" applyAlignment="1">
      <alignment horizontal="center" vertical="center" wrapText="1"/>
    </xf>
    <xf numFmtId="0" fontId="108" fillId="2" borderId="4" xfId="0" applyFont="1" applyFill="1" applyBorder="1" applyAlignment="1">
      <alignment horizontal="left" vertical="center"/>
    </xf>
    <xf numFmtId="0" fontId="51" fillId="0" borderId="46" xfId="0" applyFont="1" applyBorder="1" applyAlignment="1">
      <alignment horizontal="center" vertical="center"/>
    </xf>
    <xf numFmtId="165" fontId="29" fillId="4" borderId="4" xfId="0" applyNumberFormat="1" applyFont="1" applyFill="1" applyBorder="1" applyAlignment="1">
      <alignment horizontal="center" vertical="center" wrapText="1"/>
    </xf>
    <xf numFmtId="165" fontId="29" fillId="5" borderId="4" xfId="0" applyNumberFormat="1" applyFont="1" applyFill="1" applyBorder="1" applyAlignment="1">
      <alignment horizontal="center" vertical="center" wrapText="1"/>
    </xf>
    <xf numFmtId="0" fontId="29" fillId="9" borderId="46" xfId="0" applyFont="1" applyFill="1" applyBorder="1" applyAlignment="1">
      <alignment horizontal="center" vertical="center"/>
    </xf>
    <xf numFmtId="0" fontId="29" fillId="12" borderId="4" xfId="0" applyFont="1" applyFill="1" applyBorder="1" applyAlignment="1">
      <alignment horizontal="center" vertical="center" wrapText="1"/>
    </xf>
    <xf numFmtId="165" fontId="22" fillId="2" borderId="4" xfId="0" applyNumberFormat="1" applyFont="1" applyFill="1" applyBorder="1" applyAlignment="1">
      <alignment horizontal="center" vertical="center" wrapText="1"/>
    </xf>
    <xf numFmtId="0" fontId="108" fillId="2" borderId="4" xfId="0" applyFont="1" applyFill="1" applyBorder="1" applyAlignment="1">
      <alignment horizontal="center" vertical="center"/>
    </xf>
    <xf numFmtId="0" fontId="108" fillId="2" borderId="4" xfId="0" applyFont="1" applyFill="1" applyBorder="1" applyAlignment="1">
      <alignment horizontal="left" vertical="center" wrapText="1"/>
    </xf>
    <xf numFmtId="0" fontId="29" fillId="2" borderId="4" xfId="0" applyFont="1" applyFill="1" applyBorder="1" applyAlignment="1">
      <alignment horizontal="center" vertical="center" wrapText="1"/>
    </xf>
    <xf numFmtId="165" fontId="29" fillId="2" borderId="1" xfId="0" applyNumberFormat="1" applyFont="1" applyFill="1" applyBorder="1" applyAlignment="1">
      <alignment horizontal="center" vertical="center"/>
    </xf>
    <xf numFmtId="165" fontId="29" fillId="2" borderId="3" xfId="0" applyNumberFormat="1" applyFont="1" applyFill="1" applyBorder="1" applyAlignment="1">
      <alignment horizontal="center" vertical="center"/>
    </xf>
    <xf numFmtId="165" fontId="29" fillId="2" borderId="5" xfId="0" applyNumberFormat="1" applyFont="1" applyFill="1" applyBorder="1" applyAlignment="1">
      <alignment horizontal="center" vertical="center"/>
    </xf>
    <xf numFmtId="165" fontId="29" fillId="2" borderId="18" xfId="0" applyNumberFormat="1" applyFont="1" applyFill="1" applyBorder="1" applyAlignment="1">
      <alignment horizontal="center" vertical="center"/>
    </xf>
    <xf numFmtId="165" fontId="29" fillId="2" borderId="6" xfId="0" applyNumberFormat="1" applyFont="1" applyFill="1" applyBorder="1" applyAlignment="1">
      <alignment horizontal="center" vertical="center"/>
    </xf>
    <xf numFmtId="165" fontId="29" fillId="2" borderId="8" xfId="0" applyNumberFormat="1" applyFont="1" applyFill="1" applyBorder="1" applyAlignment="1">
      <alignment horizontal="center" vertical="center"/>
    </xf>
    <xf numFmtId="0" fontId="101" fillId="2" borderId="4" xfId="0" applyFont="1" applyFill="1" applyBorder="1" applyAlignment="1">
      <alignment horizontal="left" vertical="center"/>
    </xf>
    <xf numFmtId="165" fontId="108" fillId="2" borderId="4" xfId="0" applyNumberFormat="1" applyFont="1" applyFill="1" applyBorder="1" applyAlignment="1">
      <alignment horizontal="left" vertical="center" wrapText="1"/>
    </xf>
    <xf numFmtId="0" fontId="29" fillId="2" borderId="4" xfId="0" applyFont="1" applyFill="1" applyBorder="1" applyAlignment="1">
      <alignment horizontal="left" vertical="center" wrapText="1"/>
    </xf>
    <xf numFmtId="0" fontId="108" fillId="12" borderId="4" xfId="0" applyFont="1" applyFill="1" applyBorder="1" applyAlignment="1">
      <alignment horizontal="left" vertical="center"/>
    </xf>
    <xf numFmtId="0" fontId="51" fillId="2" borderId="14" xfId="0" applyFont="1" applyFill="1" applyBorder="1" applyAlignment="1">
      <alignment horizontal="center"/>
    </xf>
    <xf numFmtId="0" fontId="51" fillId="2" borderId="15" xfId="0" applyFont="1" applyFill="1" applyBorder="1" applyAlignment="1">
      <alignment horizontal="center"/>
    </xf>
    <xf numFmtId="0" fontId="33" fillId="2" borderId="33" xfId="0" applyFont="1" applyFill="1" applyBorder="1" applyAlignment="1">
      <alignment horizontal="center" vertical="center" wrapText="1"/>
    </xf>
    <xf numFmtId="0" fontId="33" fillId="2" borderId="34" xfId="0" applyFont="1" applyFill="1" applyBorder="1" applyAlignment="1">
      <alignment horizontal="center" vertical="center" wrapText="1"/>
    </xf>
    <xf numFmtId="0" fontId="33" fillId="2" borderId="37" xfId="0" applyFont="1" applyFill="1" applyBorder="1" applyAlignment="1">
      <alignment horizontal="center" vertical="center" wrapText="1"/>
    </xf>
    <xf numFmtId="0" fontId="33" fillId="2" borderId="38" xfId="0" applyFont="1" applyFill="1" applyBorder="1" applyAlignment="1">
      <alignment horizontal="center" vertical="center" wrapText="1"/>
    </xf>
    <xf numFmtId="0" fontId="71" fillId="2" borderId="2" xfId="0" applyFont="1" applyFill="1" applyBorder="1" applyAlignment="1">
      <alignment horizontal="center"/>
    </xf>
    <xf numFmtId="0" fontId="71" fillId="2" borderId="0" xfId="0" applyFont="1" applyFill="1" applyAlignment="1">
      <alignment horizontal="center"/>
    </xf>
    <xf numFmtId="0" fontId="71" fillId="2" borderId="7" xfId="0" applyFont="1" applyFill="1" applyBorder="1" applyAlignment="1">
      <alignment horizontal="center"/>
    </xf>
    <xf numFmtId="0" fontId="39" fillId="2" borderId="13" xfId="0" applyFont="1" applyFill="1" applyBorder="1" applyAlignment="1">
      <alignment horizontal="left" vertical="center"/>
    </xf>
    <xf numFmtId="0" fontId="39" fillId="2" borderId="20" xfId="0" applyFont="1" applyFill="1" applyBorder="1" applyAlignment="1">
      <alignment horizontal="left" vertical="center"/>
    </xf>
    <xf numFmtId="0" fontId="39" fillId="2" borderId="31" xfId="0" applyFont="1" applyFill="1" applyBorder="1" applyAlignment="1">
      <alignment horizontal="left" vertical="center"/>
    </xf>
    <xf numFmtId="0" fontId="39" fillId="2" borderId="32" xfId="0" applyFont="1" applyFill="1" applyBorder="1" applyAlignment="1">
      <alignment horizontal="left" vertical="center"/>
    </xf>
    <xf numFmtId="0" fontId="39" fillId="2" borderId="16" xfId="0" applyFont="1" applyFill="1" applyBorder="1" applyAlignment="1">
      <alignment horizontal="left" vertical="center"/>
    </xf>
    <xf numFmtId="0" fontId="39" fillId="2" borderId="21" xfId="0" applyFont="1" applyFill="1" applyBorder="1" applyAlignment="1">
      <alignment horizontal="left" vertical="center"/>
    </xf>
    <xf numFmtId="0" fontId="33" fillId="2" borderId="42" xfId="0" applyFont="1" applyFill="1" applyBorder="1" applyAlignment="1">
      <alignment horizontal="center" vertical="center" wrapText="1"/>
    </xf>
    <xf numFmtId="0" fontId="33" fillId="2" borderId="43" xfId="0" applyFont="1" applyFill="1" applyBorder="1" applyAlignment="1">
      <alignment horizontal="center" vertical="center" wrapText="1"/>
    </xf>
    <xf numFmtId="0" fontId="69" fillId="10" borderId="9" xfId="6" applyFont="1" applyFill="1" applyBorder="1" applyAlignment="1">
      <alignment horizontal="center" vertical="center"/>
    </xf>
    <xf numFmtId="0" fontId="69" fillId="10" borderId="22" xfId="6" applyFont="1" applyFill="1" applyBorder="1" applyAlignment="1">
      <alignment horizontal="center" vertical="center"/>
    </xf>
    <xf numFmtId="0" fontId="69" fillId="10" borderId="24" xfId="6" applyFont="1" applyFill="1" applyBorder="1" applyAlignment="1">
      <alignment horizontal="center" vertical="center"/>
    </xf>
    <xf numFmtId="0" fontId="69" fillId="10" borderId="17" xfId="6" applyFont="1" applyFill="1" applyBorder="1" applyAlignment="1">
      <alignment horizontal="center" vertical="center"/>
    </xf>
    <xf numFmtId="0" fontId="69" fillId="10" borderId="0" xfId="6" applyFont="1" applyFill="1" applyAlignment="1">
      <alignment horizontal="center" vertical="center"/>
    </xf>
    <xf numFmtId="0" fontId="69" fillId="10" borderId="25" xfId="6" applyFont="1" applyFill="1" applyBorder="1" applyAlignment="1">
      <alignment horizontal="center" vertical="center"/>
    </xf>
    <xf numFmtId="0" fontId="69" fillId="10" borderId="26" xfId="6" applyFont="1" applyFill="1" applyBorder="1" applyAlignment="1">
      <alignment horizontal="center" vertical="center"/>
    </xf>
    <xf numFmtId="0" fontId="69" fillId="10" borderId="23" xfId="6" applyFont="1" applyFill="1" applyBorder="1" applyAlignment="1">
      <alignment horizontal="center" vertical="center"/>
    </xf>
    <xf numFmtId="0" fontId="69" fillId="10" borderId="27" xfId="6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left" vertical="center" wrapText="1"/>
    </xf>
    <xf numFmtId="165" fontId="51" fillId="2" borderId="4" xfId="0" applyNumberFormat="1" applyFont="1" applyFill="1" applyBorder="1" applyAlignment="1">
      <alignment horizontal="center" vertical="center" wrapText="1"/>
    </xf>
    <xf numFmtId="165" fontId="36" fillId="2" borderId="4" xfId="0" applyNumberFormat="1" applyFont="1" applyFill="1" applyBorder="1" applyAlignment="1">
      <alignment wrapText="1"/>
    </xf>
    <xf numFmtId="165" fontId="36" fillId="2" borderId="11" xfId="0" applyNumberFormat="1" applyFont="1" applyFill="1" applyBorder="1" applyAlignment="1">
      <alignment wrapText="1"/>
    </xf>
    <xf numFmtId="0" fontId="34" fillId="2" borderId="17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68" fillId="10" borderId="0" xfId="6" applyFont="1" applyFill="1" applyAlignment="1">
      <alignment horizontal="left"/>
    </xf>
    <xf numFmtId="168" fontId="39" fillId="3" borderId="11" xfId="1" applyNumberFormat="1" applyFont="1" applyFill="1" applyBorder="1" applyAlignment="1">
      <alignment horizontal="center" vertical="center" wrapText="1"/>
    </xf>
    <xf numFmtId="168" fontId="39" fillId="3" borderId="10" xfId="1" applyNumberFormat="1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31" fillId="2" borderId="5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0" fontId="31" fillId="2" borderId="6" xfId="0" applyFont="1" applyFill="1" applyBorder="1" applyAlignment="1">
      <alignment horizontal="left" vertical="center"/>
    </xf>
    <xf numFmtId="0" fontId="31" fillId="2" borderId="7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/>
    </xf>
    <xf numFmtId="165" fontId="27" fillId="6" borderId="4" xfId="0" applyNumberFormat="1" applyFont="1" applyFill="1" applyBorder="1" applyAlignment="1">
      <alignment horizontal="center" vertical="center" wrapText="1"/>
    </xf>
    <xf numFmtId="165" fontId="34" fillId="2" borderId="12" xfId="0" applyNumberFormat="1" applyFont="1" applyFill="1" applyBorder="1" applyAlignment="1">
      <alignment horizontal="center" textRotation="90" wrapText="1"/>
    </xf>
    <xf numFmtId="165" fontId="34" fillId="2" borderId="14" xfId="0" applyNumberFormat="1" applyFont="1" applyFill="1" applyBorder="1" applyAlignment="1">
      <alignment horizontal="center" textRotation="90" wrapText="1"/>
    </xf>
    <xf numFmtId="165" fontId="34" fillId="2" borderId="15" xfId="0" applyNumberFormat="1" applyFont="1" applyFill="1" applyBorder="1" applyAlignment="1">
      <alignment horizontal="center" textRotation="90" wrapText="1"/>
    </xf>
    <xf numFmtId="165" fontId="40" fillId="2" borderId="4" xfId="0" applyNumberFormat="1" applyFont="1" applyFill="1" applyBorder="1" applyAlignment="1">
      <alignment horizontal="center" vertical="center" wrapText="1"/>
    </xf>
    <xf numFmtId="165" fontId="38" fillId="2" borderId="4" xfId="0" applyNumberFormat="1" applyFont="1" applyFill="1" applyBorder="1" applyAlignment="1">
      <alignment horizontal="center"/>
    </xf>
    <xf numFmtId="165" fontId="39" fillId="2" borderId="4" xfId="0" applyNumberFormat="1" applyFont="1" applyFill="1" applyBorder="1" applyAlignment="1">
      <alignment horizontal="center" vertical="center" wrapText="1"/>
    </xf>
    <xf numFmtId="165" fontId="39" fillId="2" borderId="4" xfId="0" applyNumberFormat="1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0" fontId="70" fillId="2" borderId="2" xfId="0" applyFont="1" applyFill="1" applyBorder="1" applyAlignment="1">
      <alignment horizontal="center" vertical="center" wrapText="1"/>
    </xf>
    <xf numFmtId="0" fontId="70" fillId="2" borderId="3" xfId="0" applyFont="1" applyFill="1" applyBorder="1" applyAlignment="1">
      <alignment horizontal="center" vertical="center" wrapText="1"/>
    </xf>
    <xf numFmtId="0" fontId="70" fillId="2" borderId="5" xfId="0" applyFont="1" applyFill="1" applyBorder="1" applyAlignment="1">
      <alignment horizontal="center" vertical="center" wrapText="1"/>
    </xf>
    <xf numFmtId="0" fontId="70" fillId="2" borderId="0" xfId="0" applyFont="1" applyFill="1" applyAlignment="1">
      <alignment horizontal="center" vertical="center" wrapText="1"/>
    </xf>
    <xf numFmtId="0" fontId="70" fillId="2" borderId="18" xfId="0" applyFont="1" applyFill="1" applyBorder="1" applyAlignment="1">
      <alignment horizontal="center" vertical="center" wrapText="1"/>
    </xf>
    <xf numFmtId="0" fontId="70" fillId="2" borderId="6" xfId="0" applyFont="1" applyFill="1" applyBorder="1" applyAlignment="1">
      <alignment horizontal="center" vertical="center" wrapText="1"/>
    </xf>
    <xf numFmtId="0" fontId="70" fillId="2" borderId="7" xfId="0" applyFont="1" applyFill="1" applyBorder="1" applyAlignment="1">
      <alignment horizontal="center" vertical="center" wrapText="1"/>
    </xf>
    <xf numFmtId="0" fontId="70" fillId="2" borderId="8" xfId="0" applyFont="1" applyFill="1" applyBorder="1" applyAlignment="1">
      <alignment horizontal="center" vertical="center" wrapText="1"/>
    </xf>
    <xf numFmtId="165" fontId="27" fillId="2" borderId="4" xfId="0" applyNumberFormat="1" applyFont="1" applyFill="1" applyBorder="1" applyAlignment="1">
      <alignment horizontal="center" textRotation="90" wrapText="1"/>
    </xf>
    <xf numFmtId="165" fontId="63" fillId="2" borderId="4" xfId="0" applyNumberFormat="1" applyFont="1" applyFill="1" applyBorder="1" applyAlignment="1">
      <alignment horizontal="center" vertical="center" wrapText="1"/>
    </xf>
    <xf numFmtId="165" fontId="64" fillId="2" borderId="4" xfId="0" applyNumberFormat="1" applyFont="1" applyFill="1" applyBorder="1" applyAlignment="1">
      <alignment horizontal="center" vertical="center" wrapText="1"/>
    </xf>
    <xf numFmtId="165" fontId="65" fillId="2" borderId="4" xfId="0" applyNumberFormat="1" applyFont="1" applyFill="1" applyBorder="1" applyAlignment="1">
      <alignment horizontal="left" vertical="center" wrapText="1"/>
    </xf>
    <xf numFmtId="0" fontId="40" fillId="2" borderId="4" xfId="0" applyFont="1" applyFill="1" applyBorder="1" applyAlignment="1">
      <alignment horizontal="left" vertical="center"/>
    </xf>
    <xf numFmtId="0" fontId="38" fillId="2" borderId="4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left" vertical="center" wrapText="1"/>
    </xf>
    <xf numFmtId="0" fontId="64" fillId="2" borderId="4" xfId="0" applyFont="1" applyFill="1" applyBorder="1" applyAlignment="1">
      <alignment horizontal="center" vertical="center"/>
    </xf>
    <xf numFmtId="0" fontId="65" fillId="2" borderId="4" xfId="0" applyFont="1" applyFill="1" applyBorder="1" applyAlignment="1">
      <alignment horizontal="left" vertical="center" wrapText="1"/>
    </xf>
    <xf numFmtId="0" fontId="65" fillId="2" borderId="4" xfId="0" applyFont="1" applyFill="1" applyBorder="1" applyAlignment="1">
      <alignment horizontal="left" vertical="center"/>
    </xf>
    <xf numFmtId="165" fontId="23" fillId="2" borderId="0" xfId="0" applyNumberFormat="1" applyFont="1" applyFill="1" applyAlignment="1">
      <alignment horizontal="center" vertical="center"/>
    </xf>
    <xf numFmtId="165" fontId="23" fillId="2" borderId="18" xfId="0" applyNumberFormat="1" applyFont="1" applyFill="1" applyBorder="1" applyAlignment="1">
      <alignment horizontal="center" vertical="center"/>
    </xf>
    <xf numFmtId="165" fontId="34" fillId="2" borderId="7" xfId="0" applyNumberFormat="1" applyFont="1" applyFill="1" applyBorder="1" applyAlignment="1">
      <alignment horizontal="left"/>
    </xf>
    <xf numFmtId="165" fontId="34" fillId="2" borderId="8" xfId="0" applyNumberFormat="1" applyFont="1" applyFill="1" applyBorder="1" applyAlignment="1">
      <alignment horizontal="left"/>
    </xf>
    <xf numFmtId="165" fontId="35" fillId="5" borderId="4" xfId="0" applyNumberFormat="1" applyFont="1" applyFill="1" applyBorder="1" applyAlignment="1">
      <alignment horizontal="center" vertical="center" wrapText="1"/>
    </xf>
    <xf numFmtId="165" fontId="34" fillId="5" borderId="4" xfId="0" applyNumberFormat="1" applyFont="1" applyFill="1" applyBorder="1" applyAlignment="1">
      <alignment horizontal="center" vertical="center" wrapText="1"/>
    </xf>
    <xf numFmtId="165" fontId="35" fillId="4" borderId="4" xfId="0" applyNumberFormat="1" applyFont="1" applyFill="1" applyBorder="1" applyAlignment="1">
      <alignment horizontal="center" vertical="center" wrapText="1"/>
    </xf>
    <xf numFmtId="165" fontId="37" fillId="4" borderId="4" xfId="0" applyNumberFormat="1" applyFont="1" applyFill="1" applyBorder="1" applyAlignment="1">
      <alignment horizontal="center" vertical="center" wrapText="1"/>
    </xf>
    <xf numFmtId="165" fontId="39" fillId="2" borderId="1" xfId="0" applyNumberFormat="1" applyFont="1" applyFill="1" applyBorder="1" applyAlignment="1">
      <alignment horizontal="center" vertical="center"/>
    </xf>
    <xf numFmtId="165" fontId="39" fillId="2" borderId="3" xfId="0" applyNumberFormat="1" applyFont="1" applyFill="1" applyBorder="1" applyAlignment="1">
      <alignment horizontal="center" vertical="center"/>
    </xf>
    <xf numFmtId="165" fontId="39" fillId="2" borderId="5" xfId="0" applyNumberFormat="1" applyFont="1" applyFill="1" applyBorder="1" applyAlignment="1">
      <alignment horizontal="center" vertical="center"/>
    </xf>
    <xf numFmtId="165" fontId="39" fillId="2" borderId="18" xfId="0" applyNumberFormat="1" applyFont="1" applyFill="1" applyBorder="1" applyAlignment="1">
      <alignment horizontal="center" vertical="center"/>
    </xf>
    <xf numFmtId="165" fontId="39" fillId="2" borderId="6" xfId="0" applyNumberFormat="1" applyFont="1" applyFill="1" applyBorder="1" applyAlignment="1">
      <alignment horizontal="center" vertical="center"/>
    </xf>
    <xf numFmtId="165" fontId="39" fillId="2" borderId="8" xfId="0" applyNumberFormat="1" applyFont="1" applyFill="1" applyBorder="1" applyAlignment="1">
      <alignment horizontal="center" vertical="center"/>
    </xf>
    <xf numFmtId="165" fontId="46" fillId="2" borderId="4" xfId="0" applyNumberFormat="1" applyFont="1" applyFill="1" applyBorder="1" applyAlignment="1">
      <alignment horizontal="center" vertical="center" wrapText="1"/>
    </xf>
    <xf numFmtId="165" fontId="38" fillId="8" borderId="4" xfId="0" applyNumberFormat="1" applyFont="1" applyFill="1" applyBorder="1" applyAlignment="1">
      <alignment horizontal="center" wrapText="1"/>
    </xf>
    <xf numFmtId="0" fontId="79" fillId="2" borderId="4" xfId="0" applyFont="1" applyFill="1" applyBorder="1" applyAlignment="1">
      <alignment horizontal="center" vertical="center"/>
    </xf>
    <xf numFmtId="165" fontId="38" fillId="13" borderId="11" xfId="0" applyNumberFormat="1" applyFont="1" applyFill="1" applyBorder="1" applyAlignment="1">
      <alignment horizontal="center" vertical="center" wrapText="1"/>
    </xf>
    <xf numFmtId="165" fontId="38" fillId="13" borderId="10" xfId="0" applyNumberFormat="1" applyFont="1" applyFill="1" applyBorder="1" applyAlignment="1">
      <alignment horizontal="center" vertical="center" wrapText="1"/>
    </xf>
    <xf numFmtId="168" fontId="41" fillId="7" borderId="11" xfId="1" applyNumberFormat="1" applyFont="1" applyFill="1" applyBorder="1" applyAlignment="1">
      <alignment horizontal="center" vertical="center" wrapText="1"/>
    </xf>
    <xf numFmtId="168" fontId="41" fillId="7" borderId="10" xfId="1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/>
    </xf>
    <xf numFmtId="0" fontId="26" fillId="2" borderId="10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168" fontId="22" fillId="0" borderId="46" xfId="1" applyNumberFormat="1" applyFont="1" applyBorder="1" applyAlignment="1">
      <alignment horizontal="center" vertical="center"/>
    </xf>
    <xf numFmtId="0" fontId="44" fillId="0" borderId="5" xfId="0" applyFont="1" applyFill="1" applyBorder="1"/>
    <xf numFmtId="168" fontId="22" fillId="0" borderId="0" xfId="1" applyNumberFormat="1" applyFont="1" applyAlignment="1">
      <alignment horizontal="center" vertical="center"/>
    </xf>
    <xf numFmtId="10" fontId="22" fillId="0" borderId="46" xfId="1" applyNumberFormat="1" applyFont="1" applyBorder="1" applyAlignment="1">
      <alignment horizontal="center" vertical="center"/>
    </xf>
    <xf numFmtId="10" fontId="22" fillId="0" borderId="0" xfId="1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0" fontId="22" fillId="9" borderId="0" xfId="0" applyNumberFormat="1" applyFont="1" applyFill="1" applyAlignment="1">
      <alignment horizontal="center" vertical="center"/>
    </xf>
  </cellXfs>
  <cellStyles count="61">
    <cellStyle name="Comma" xfId="4" builtinId="3"/>
    <cellStyle name="Comma 2" xfId="10" xr:uid="{00000000-0005-0000-0000-000001000000}"/>
    <cellStyle name="Comma 2 2" xfId="11" xr:uid="{00000000-0005-0000-0000-000002000000}"/>
    <cellStyle name="Comma 2 2 2" xfId="16" xr:uid="{00000000-0005-0000-0000-000003000000}"/>
    <cellStyle name="Comma 2 2 2 2" xfId="31" xr:uid="{00000000-0005-0000-0000-000004000000}"/>
    <cellStyle name="Comma 2 2 2 3" xfId="43" xr:uid="{00000000-0005-0000-0000-000005000000}"/>
    <cellStyle name="Comma 2 2 2 4" xfId="55" xr:uid="{00000000-0005-0000-0000-000006000000}"/>
    <cellStyle name="Comma 2 2 3" xfId="26" xr:uid="{00000000-0005-0000-0000-000007000000}"/>
    <cellStyle name="Comma 2 2 4" xfId="38" xr:uid="{00000000-0005-0000-0000-000008000000}"/>
    <cellStyle name="Comma 2 2 5" xfId="50" xr:uid="{00000000-0005-0000-0000-000009000000}"/>
    <cellStyle name="Comma 2 3" xfId="15" xr:uid="{00000000-0005-0000-0000-00000A000000}"/>
    <cellStyle name="Comma 2 3 2" xfId="30" xr:uid="{00000000-0005-0000-0000-00000B000000}"/>
    <cellStyle name="Comma 2 3 3" xfId="42" xr:uid="{00000000-0005-0000-0000-00000C000000}"/>
    <cellStyle name="Comma 2 3 4" xfId="54" xr:uid="{00000000-0005-0000-0000-00000D000000}"/>
    <cellStyle name="Comma 2 4" xfId="25" xr:uid="{00000000-0005-0000-0000-00000E000000}"/>
    <cellStyle name="Comma 2 5" xfId="37" xr:uid="{00000000-0005-0000-0000-00000F000000}"/>
    <cellStyle name="Comma 2 6" xfId="49" xr:uid="{00000000-0005-0000-0000-000010000000}"/>
    <cellStyle name="Comma 3" xfId="18" xr:uid="{00000000-0005-0000-0000-000011000000}"/>
    <cellStyle name="Comma 3 2" xfId="13" xr:uid="{00000000-0005-0000-0000-000012000000}"/>
    <cellStyle name="Comma 3 2 2" xfId="17" xr:uid="{00000000-0005-0000-0000-000013000000}"/>
    <cellStyle name="Comma 3 2 2 2" xfId="32" xr:uid="{00000000-0005-0000-0000-000014000000}"/>
    <cellStyle name="Comma 3 2 2 3" xfId="44" xr:uid="{00000000-0005-0000-0000-000015000000}"/>
    <cellStyle name="Comma 3 2 2 4" xfId="56" xr:uid="{00000000-0005-0000-0000-000016000000}"/>
    <cellStyle name="Comma 3 2 3" xfId="28" xr:uid="{00000000-0005-0000-0000-000017000000}"/>
    <cellStyle name="Comma 3 2 4" xfId="40" xr:uid="{00000000-0005-0000-0000-000018000000}"/>
    <cellStyle name="Comma 3 2 5" xfId="52" xr:uid="{00000000-0005-0000-0000-000019000000}"/>
    <cellStyle name="Comma 3 3" xfId="33" xr:uid="{00000000-0005-0000-0000-00001A000000}"/>
    <cellStyle name="Comma 3 4" xfId="45" xr:uid="{00000000-0005-0000-0000-00001B000000}"/>
    <cellStyle name="Comma 3 5" xfId="57" xr:uid="{00000000-0005-0000-0000-00001C000000}"/>
    <cellStyle name="Comma 4" xfId="2" xr:uid="{00000000-0005-0000-0000-00001D000000}"/>
    <cellStyle name="Comma 4 2" xfId="20" xr:uid="{00000000-0005-0000-0000-00001E000000}"/>
    <cellStyle name="Comma 4 2 2" xfId="35" xr:uid="{00000000-0005-0000-0000-00001F000000}"/>
    <cellStyle name="Comma 4 2 3" xfId="47" xr:uid="{00000000-0005-0000-0000-000020000000}"/>
    <cellStyle name="Comma 4 2 4" xfId="59" xr:uid="{00000000-0005-0000-0000-000021000000}"/>
    <cellStyle name="Comma 4 3" xfId="19" xr:uid="{00000000-0005-0000-0000-000022000000}"/>
    <cellStyle name="Comma 4 4" xfId="34" xr:uid="{00000000-0005-0000-0000-000023000000}"/>
    <cellStyle name="Comma 4 5" xfId="46" xr:uid="{00000000-0005-0000-0000-000024000000}"/>
    <cellStyle name="Comma 4 6" xfId="58" xr:uid="{00000000-0005-0000-0000-000025000000}"/>
    <cellStyle name="Comma 5" xfId="21" xr:uid="{00000000-0005-0000-0000-000026000000}"/>
    <cellStyle name="Comma 5 2" xfId="36" xr:uid="{00000000-0005-0000-0000-000027000000}"/>
    <cellStyle name="Comma 5 3" xfId="48" xr:uid="{00000000-0005-0000-0000-000028000000}"/>
    <cellStyle name="Comma 5 4" xfId="60" xr:uid="{00000000-0005-0000-0000-000029000000}"/>
    <cellStyle name="Comma 6" xfId="14" xr:uid="{00000000-0005-0000-0000-00002A000000}"/>
    <cellStyle name="Comma 7" xfId="29" xr:uid="{00000000-0005-0000-0000-00002B000000}"/>
    <cellStyle name="Comma 8" xfId="41" xr:uid="{00000000-0005-0000-0000-00002C000000}"/>
    <cellStyle name="Comma 9" xfId="53" xr:uid="{00000000-0005-0000-0000-00002D000000}"/>
    <cellStyle name="Normal" xfId="0" builtinId="0"/>
    <cellStyle name="Normal 2" xfId="23" xr:uid="{00000000-0005-0000-0000-00002F000000}"/>
    <cellStyle name="Normal 2 10" xfId="22" xr:uid="{00000000-0005-0000-0000-000030000000}"/>
    <cellStyle name="Normal 2 2" xfId="3" xr:uid="{00000000-0005-0000-0000-000031000000}"/>
    <cellStyle name="Normal 3" xfId="9" xr:uid="{00000000-0005-0000-0000-000032000000}"/>
    <cellStyle name="Normal 4" xfId="24" xr:uid="{00000000-0005-0000-0000-000033000000}"/>
    <cellStyle name="Normal 6 2" xfId="12" xr:uid="{00000000-0005-0000-0000-000034000000}"/>
    <cellStyle name="Normal 6 2 2" xfId="27" xr:uid="{00000000-0005-0000-0000-000035000000}"/>
    <cellStyle name="Normal 6 2 3" xfId="39" xr:uid="{00000000-0005-0000-0000-000036000000}"/>
    <cellStyle name="Normal 6 2 4" xfId="51" xr:uid="{00000000-0005-0000-0000-000037000000}"/>
    <cellStyle name="Normal 7" xfId="7" xr:uid="{00000000-0005-0000-0000-000038000000}"/>
    <cellStyle name="Normal 7 2" xfId="8" xr:uid="{00000000-0005-0000-0000-000039000000}"/>
    <cellStyle name="Normal_(( Quản lý 90 ngày(4CAV - K27) ))" xfId="6" xr:uid="{00000000-0005-0000-0000-00003A000000}"/>
    <cellStyle name="Percent" xfId="1" builtinId="5"/>
    <cellStyle name="標準_95(下)管理表品質最新" xfId="5" xr:uid="{00000000-0005-0000-0000-00003C000000}"/>
  </cellStyles>
  <dxfs count="3">
    <dxf>
      <font>
        <color rgb="FF0000FF"/>
      </font>
    </dxf>
    <dxf>
      <font>
        <color rgb="FFFF0000"/>
      </font>
    </dxf>
    <dxf>
      <font>
        <color auto="1"/>
      </font>
    </dxf>
  </dxfs>
  <tableStyles count="0" defaultTableStyle="TableStyleMedium2" defaultPivotStyle="PivotStyleLight16"/>
  <colors>
    <mruColors>
      <color rgb="FF0033CC"/>
      <color rgb="FF0000FF"/>
      <color rgb="FF339966"/>
      <color rgb="FF0000CC"/>
      <color rgb="FF00FF99"/>
      <color rgb="FFD60093"/>
      <color rgb="FFEB6E19"/>
      <color rgb="FFDF6613"/>
      <color rgb="FF99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72764088986693254"/>
          <c:y val="2.7909144741053708E-2"/>
          <c:w val="0.22576180909937577"/>
          <c:h val="0.94418171051789257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'BIỂU ĐỒ'!$T$32</c:f>
              <c:strCache>
                <c:ptCount val="1"/>
                <c:pt idx="0">
                  <c:v> TỔNG SL KẾ HOẠCH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ĐỒ'!$AB$32:$AM$32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13580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C05-4A70-A130-6F49AD855AA9}"/>
            </c:ext>
          </c:extLst>
        </c:ser>
        <c:ser>
          <c:idx val="2"/>
          <c:order val="2"/>
          <c:tx>
            <c:strRef>
              <c:f>'BIỂU ĐỒ'!$T$36</c:f>
              <c:strCache>
                <c:ptCount val="1"/>
                <c:pt idx="0">
                  <c:v> TỔNG SL THƯC TẾ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ĐỒ'!$AB$36:$AM$36</c:f>
              <c:numCache>
                <c:formatCode>_(* #,##0_);_(* \(#,##0\);_(* "-"??_);_(@_)</c:formatCode>
                <c:ptCount val="3"/>
                <c:pt idx="0">
                  <c:v>13311.084000000003</c:v>
                </c:pt>
                <c:pt idx="1">
                  <c:v>13025.609999999999</c:v>
                </c:pt>
                <c:pt idx="2">
                  <c:v>13119.27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C05-4A70-A130-6F49AD855AA9}"/>
            </c:ext>
          </c:extLst>
        </c:ser>
        <c:ser>
          <c:idx val="5"/>
          <c:order val="5"/>
          <c:tx>
            <c:strRef>
              <c:f>'BIỂU ĐỒ'!$T$28</c:f>
              <c:strCache>
                <c:ptCount val="1"/>
                <c:pt idx="0">
                  <c:v> SẢN LƯƠNG KH NGẤN SÁCH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ĐỒ'!$AB$28:$AM$28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13580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24-4299-A6CE-E5A43C974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40080192"/>
        <c:axId val="440059520"/>
      </c:barChart>
      <c:lineChart>
        <c:grouping val="standard"/>
        <c:varyColors val="0"/>
        <c:ser>
          <c:idx val="1"/>
          <c:order val="0"/>
          <c:tx>
            <c:strRef>
              <c:f>'BIỂU ĐỒ'!$S$14</c:f>
              <c:strCache>
                <c:ptCount val="1"/>
                <c:pt idx="0">
                  <c:v>Tỷ lệ đạt THƯC TẾ -TOTAL</c:v>
                </c:pt>
              </c:strCache>
            </c:strRef>
          </c:tx>
          <c:spPr>
            <a:ln w="476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C1FE-4145-874D-871E8572E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ĐỒ'!$AB$14:$AM$14</c:f>
              <c:numCache>
                <c:formatCode>0%</c:formatCode>
                <c:ptCount val="3"/>
                <c:pt idx="0">
                  <c:v>0.95079171428571452</c:v>
                </c:pt>
                <c:pt idx="1">
                  <c:v>0.95917599410898369</c:v>
                </c:pt>
                <c:pt idx="2">
                  <c:v>0.93709071428571433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C05-4A70-A130-6F49AD855AA9}"/>
            </c:ext>
          </c:extLst>
        </c:ser>
        <c:ser>
          <c:idx val="3"/>
          <c:order val="3"/>
          <c:tx>
            <c:strRef>
              <c:f>'BIỂU ĐỒ'!$T$23</c:f>
              <c:strCache>
                <c:ptCount val="1"/>
                <c:pt idx="0">
                  <c:v> Muc tiêu TỶ LỆ  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'BIỂU ĐỒ'!$AB$23:$AM$23</c:f>
              <c:numCache>
                <c:formatCode>0%</c:formatCode>
                <c:ptCount val="3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C05-4A70-A130-6F49AD855AA9}"/>
            </c:ext>
          </c:extLst>
        </c:ser>
        <c:ser>
          <c:idx val="4"/>
          <c:order val="4"/>
          <c:tx>
            <c:strRef>
              <c:f>'BIỂU ĐỒ'!$T$24</c:f>
              <c:strCache>
                <c:ptCount val="1"/>
                <c:pt idx="0">
                  <c:v> Muc tiêu TỶ LỆ  </c:v>
                </c:pt>
              </c:strCache>
            </c:strRef>
          </c:tx>
          <c:spPr>
            <a:ln w="381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'BIỂU ĐỒ'!$AB$24:$AM$24</c:f>
              <c:numCache>
                <c:formatCode>0%</c:formatCode>
                <c:ptCount val="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C05-4A70-A130-6F49AD855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55168"/>
        <c:axId val="440074208"/>
      </c:lineChart>
      <c:valAx>
        <c:axId val="440059520"/>
        <c:scaling>
          <c:orientation val="minMax"/>
          <c:max val="16000"/>
          <c:min val="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80192"/>
        <c:crosses val="max"/>
        <c:crossBetween val="between"/>
      </c:valAx>
      <c:catAx>
        <c:axId val="44008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0059520"/>
        <c:crosses val="autoZero"/>
        <c:auto val="1"/>
        <c:lblAlgn val="ctr"/>
        <c:lblOffset val="100"/>
        <c:noMultiLvlLbl val="0"/>
      </c:catAx>
      <c:valAx>
        <c:axId val="440074208"/>
        <c:scaling>
          <c:orientation val="minMax"/>
          <c:max val="1.1000000000000001"/>
          <c:min val="0.75000000000000011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55168"/>
        <c:crosses val="autoZero"/>
        <c:crossBetween val="between"/>
      </c:valAx>
      <c:catAx>
        <c:axId val="440055168"/>
        <c:scaling>
          <c:orientation val="minMax"/>
        </c:scaling>
        <c:delete val="1"/>
        <c:axPos val="b"/>
        <c:majorTickMark val="out"/>
        <c:minorTickMark val="none"/>
        <c:tickLblPos val="nextTo"/>
        <c:crossAx val="440074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279342027771821E-2"/>
          <c:y val="6.2401774246304302E-3"/>
          <c:w val="0.18590044978447359"/>
          <c:h val="0.75100419534172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7351981076600006"/>
          <c:y val="6.3432334968628198E-2"/>
          <c:w val="0.22616393829450937"/>
          <c:h val="0.85604903592901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'BIỂU ĐỒ'!$T$30</c:f>
              <c:strCache>
                <c:ptCount val="1"/>
                <c:pt idx="0">
                  <c:v>Giấy mặt-KH</c:v>
                </c:pt>
              </c:strCache>
            </c:strRef>
          </c:tx>
          <c:spPr>
            <a:gradFill flip="none" rotWithShape="1">
              <a:gsLst>
                <a:gs pos="45000">
                  <a:schemeClr val="bg1"/>
                </a:gs>
                <a:gs pos="0">
                  <a:schemeClr val="accent5">
                    <a:lumMod val="89000"/>
                  </a:schemeClr>
                </a:gs>
                <a:gs pos="100000">
                  <a:schemeClr val="accent5">
                    <a:lumMod val="75000"/>
                  </a:schemeClr>
                </a:gs>
                <a:gs pos="97000">
                  <a:schemeClr val="accent5">
                    <a:lumMod val="7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'BIỂU ĐỒ'!$AB$11:$AM$11</c:f>
              <c:numCache>
                <c:formatCode>0%</c:formatCode>
                <c:ptCount val="3"/>
                <c:pt idx="0">
                  <c:v>0.94568386820710315</c:v>
                </c:pt>
                <c:pt idx="1">
                  <c:v>0.9431308666017526</c:v>
                </c:pt>
                <c:pt idx="2">
                  <c:v>0.94172877059569082</c:v>
                </c:pt>
              </c:numCache>
            </c:numRef>
          </c:cat>
          <c:val>
            <c:numRef>
              <c:f>'BIỂU ĐỒ'!$AB$30:$AM$30</c:f>
              <c:numCache>
                <c:formatCode>_(* #,##0_);_(* \(#,##0\);_(* "-"??_);_(@_)</c:formatCode>
                <c:ptCount val="3"/>
                <c:pt idx="0">
                  <c:v>11685</c:v>
                </c:pt>
                <c:pt idx="1">
                  <c:v>10270</c:v>
                </c:pt>
                <c:pt idx="2">
                  <c:v>11835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3-4A25-8EAA-A368582B0A27}"/>
            </c:ext>
          </c:extLst>
        </c:ser>
        <c:ser>
          <c:idx val="1"/>
          <c:order val="1"/>
          <c:tx>
            <c:strRef>
              <c:f>'BIỂU ĐỒ'!$T$34</c:f>
              <c:strCache>
                <c:ptCount val="1"/>
                <c:pt idx="0">
                  <c:v> Giấy mặt-TT </c:v>
                </c:pt>
              </c:strCache>
            </c:strRef>
          </c:tx>
          <c:spPr>
            <a:gradFill flip="none" rotWithShape="1">
              <a:gsLst>
                <a:gs pos="46000">
                  <a:schemeClr val="bg1"/>
                </a:gs>
                <a:gs pos="0">
                  <a:schemeClr val="accent2">
                    <a:lumMod val="89000"/>
                  </a:schemeClr>
                </a:gs>
                <a:gs pos="100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'BIỂU ĐỒ'!$AB$11:$AM$11</c:f>
              <c:numCache>
                <c:formatCode>0%</c:formatCode>
                <c:ptCount val="3"/>
                <c:pt idx="0">
                  <c:v>0.94568386820710315</c:v>
                </c:pt>
                <c:pt idx="1">
                  <c:v>0.9431308666017526</c:v>
                </c:pt>
                <c:pt idx="2">
                  <c:v>0.94172877059569082</c:v>
                </c:pt>
              </c:numCache>
            </c:numRef>
          </c:cat>
          <c:val>
            <c:numRef>
              <c:f>'BIỂU ĐỒ'!$AB$34:$AM$34</c:f>
              <c:numCache>
                <c:formatCode>_(* #,##0_);_(* \(#,##0\);_(* "-"??_);_(@_)</c:formatCode>
                <c:ptCount val="3"/>
                <c:pt idx="0">
                  <c:v>11050.316000000001</c:v>
                </c:pt>
                <c:pt idx="1">
                  <c:v>9685.9539999999997</c:v>
                </c:pt>
                <c:pt idx="2">
                  <c:v>11145.36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3-4A25-8EAA-A368582B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40063328"/>
        <c:axId val="440073664"/>
      </c:barChart>
      <c:lineChart>
        <c:grouping val="standard"/>
        <c:varyColors val="0"/>
        <c:ser>
          <c:idx val="2"/>
          <c:order val="2"/>
          <c:tx>
            <c:strRef>
              <c:f>'BIỂU ĐỒ'!$S$11</c:f>
              <c:strCache>
                <c:ptCount val="1"/>
                <c:pt idx="0">
                  <c:v>Tỷ lệ đạt  THỰC TẾ -GIẤY MẶT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17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2.6723614870379095E-2"/>
                  <c:y val="-0.183588301462317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0C-49B8-A55B-75D6110871C9}"/>
                </c:ext>
              </c:extLst>
            </c:dLbl>
            <c:dLbl>
              <c:idx val="8"/>
              <c:layout>
                <c:manualLayout>
                  <c:x val="-2.9364596741275853E-2"/>
                  <c:y val="-0.172587858222062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105-479C-8B1D-69F93DCA4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ĐỒ'!$AB$11:$AM$11</c:f>
              <c:numCache>
                <c:formatCode>0%</c:formatCode>
                <c:ptCount val="3"/>
                <c:pt idx="0">
                  <c:v>0.94568386820710315</c:v>
                </c:pt>
                <c:pt idx="1">
                  <c:v>0.9431308666017526</c:v>
                </c:pt>
                <c:pt idx="2">
                  <c:v>0.94172877059569082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93-4A25-8EAA-A368582B0A27}"/>
            </c:ext>
          </c:extLst>
        </c:ser>
        <c:ser>
          <c:idx val="3"/>
          <c:order val="3"/>
          <c:tx>
            <c:strRef>
              <c:f>'BIỂU ĐỒ'!$T$23</c:f>
              <c:strCache>
                <c:ptCount val="1"/>
                <c:pt idx="0">
                  <c:v> Muc tiêu TỶ LỆ   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'BIỂU ĐỒ'!$AB$23:$AM$23</c:f>
              <c:numCache>
                <c:formatCode>0%</c:formatCode>
                <c:ptCount val="3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93-4A25-8EAA-A368582B0A27}"/>
            </c:ext>
          </c:extLst>
        </c:ser>
        <c:ser>
          <c:idx val="4"/>
          <c:order val="4"/>
          <c:tx>
            <c:strRef>
              <c:f>'BIỂU ĐỒ'!$T$24</c:f>
              <c:strCache>
                <c:ptCount val="1"/>
                <c:pt idx="0">
                  <c:v> Muc tiêu TỶ LỆ  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'BIỂU ĐỒ'!$AB$24:$AM$24</c:f>
              <c:numCache>
                <c:formatCode>0%</c:formatCode>
                <c:ptCount val="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93-4A25-8EAA-A368582B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0736"/>
        <c:axId val="440076928"/>
      </c:lineChart>
      <c:valAx>
        <c:axId val="440073664"/>
        <c:scaling>
          <c:orientation val="minMax"/>
          <c:max val="15000"/>
          <c:min val="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63328"/>
        <c:crosses val="max"/>
        <c:crossBetween val="between"/>
      </c:valAx>
      <c:catAx>
        <c:axId val="440063328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440073664"/>
        <c:crosses val="autoZero"/>
        <c:auto val="1"/>
        <c:lblAlgn val="ctr"/>
        <c:lblOffset val="100"/>
        <c:noMultiLvlLbl val="0"/>
      </c:catAx>
      <c:valAx>
        <c:axId val="440076928"/>
        <c:scaling>
          <c:orientation val="minMax"/>
          <c:max val="1.2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80736"/>
        <c:crosses val="autoZero"/>
        <c:crossBetween val="between"/>
      </c:valAx>
      <c:catAx>
        <c:axId val="440080736"/>
        <c:scaling>
          <c:orientation val="minMax"/>
        </c:scaling>
        <c:delete val="1"/>
        <c:axPos val="b"/>
        <c:majorTickMark val="out"/>
        <c:minorTickMark val="none"/>
        <c:tickLblPos val="nextTo"/>
        <c:crossAx val="44007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656423860493811E-3"/>
          <c:y val="0"/>
          <c:w val="0.19432771267660998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73484989804240641"/>
          <c:y val="9.2419129427003449E-2"/>
          <c:w val="0.22671667657677039"/>
          <c:h val="0.85379541679433635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'BIỂU ĐỒ'!$T$18:$U$18</c:f>
              <c:strCache>
                <c:ptCount val="2"/>
                <c:pt idx="0">
                  <c:v> SL Lũy kế giấy sóng-TT </c:v>
                </c:pt>
                <c:pt idx="1">
                  <c:v> Tấn </c:v>
                </c:pt>
              </c:strCache>
            </c:strRef>
          </c:tx>
          <c:spPr>
            <a:solidFill>
              <a:srgbClr val="EB6E19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ĐỒ'!$AB$18:$AM$18</c:f>
              <c:numCache>
                <c:formatCode>_(* #,##0_);_(* \(#,##0\);_(* "-"??_);_(@_)</c:formatCode>
                <c:ptCount val="3"/>
                <c:pt idx="0">
                  <c:v>732.62900000000002</c:v>
                </c:pt>
                <c:pt idx="1">
                  <c:v>1654.5599999999997</c:v>
                </c:pt>
                <c:pt idx="2">
                  <c:v>941.50200000000007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B-444D-BA1D-FE6EF3889115}"/>
            </c:ext>
          </c:extLst>
        </c:ser>
        <c:ser>
          <c:idx val="2"/>
          <c:order val="2"/>
          <c:tx>
            <c:strRef>
              <c:f>'BIỂU ĐỒ'!$T$19:$U$19</c:f>
              <c:strCache>
                <c:ptCount val="2"/>
                <c:pt idx="0">
                  <c:v> SL Lũy kế giấy mặt-TT </c:v>
                </c:pt>
                <c:pt idx="1">
                  <c:v> Tấn </c:v>
                </c:pt>
              </c:strCache>
            </c:strRef>
          </c:tx>
          <c:spPr>
            <a:solidFill>
              <a:srgbClr val="00FF99"/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'BIỂU ĐỒ'!$AB$19:$AM$19</c:f>
              <c:numCache>
                <c:formatCode>_(* #,##0_);_(* \(#,##0\);_(* "-"??_);_(@_)</c:formatCode>
                <c:ptCount val="3"/>
                <c:pt idx="0">
                  <c:v>11050.316000000001</c:v>
                </c:pt>
                <c:pt idx="1">
                  <c:v>9685.9539999999997</c:v>
                </c:pt>
                <c:pt idx="2">
                  <c:v>11145.36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B-444D-BA1D-FE6EF3889115}"/>
            </c:ext>
          </c:extLst>
        </c:ser>
        <c:ser>
          <c:idx val="4"/>
          <c:order val="4"/>
          <c:tx>
            <c:strRef>
              <c:f>'BIỂU ĐỒ'!$T$20</c:f>
              <c:strCache>
                <c:ptCount val="1"/>
                <c:pt idx="0">
                  <c:v> SL Lũy kế Kraftlinet -TT </c:v>
                </c:pt>
              </c:strCache>
            </c:strRef>
          </c:tx>
          <c:invertIfNegative val="0"/>
          <c:val>
            <c:numRef>
              <c:f>'BIỂU ĐỒ'!$V$20:$X$20</c:f>
              <c:numCache>
                <c:formatCode>_(* #,##0_);_(* \(#,##0\);_(* "-"??_);_(@_)</c:formatCode>
                <c:ptCount val="1"/>
                <c:pt idx="0">
                  <c:v>7819.05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6-4C75-A555-AC7AFA2B3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40058976"/>
        <c:axId val="440055712"/>
      </c:barChart>
      <c:lineChart>
        <c:grouping val="standard"/>
        <c:varyColors val="0"/>
        <c:ser>
          <c:idx val="0"/>
          <c:order val="0"/>
          <c:tx>
            <c:strRef>
              <c:f>'BIỂU ĐỒ'!$T$17:$U$17</c:f>
              <c:strCache>
                <c:ptCount val="2"/>
                <c:pt idx="0">
                  <c:v> SL Lũy kế Tổng -KH </c:v>
                </c:pt>
                <c:pt idx="1">
                  <c:v> Tấn </c:v>
                </c:pt>
              </c:strCache>
            </c:strRef>
          </c:tx>
          <c:spPr>
            <a:ln w="698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'BIỂU ĐỒ'!$AB$17:$AM$17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13580</c:v>
                </c:pt>
                <c:pt idx="2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B-444D-BA1D-FE6EF3889115}"/>
            </c:ext>
          </c:extLst>
        </c:ser>
        <c:ser>
          <c:idx val="3"/>
          <c:order val="3"/>
          <c:tx>
            <c:strRef>
              <c:f>'BIỂU ĐỒ'!$T$21</c:f>
              <c:strCache>
                <c:ptCount val="1"/>
                <c:pt idx="0">
                  <c:v> SL Lũy kế Tổng -TT </c:v>
                </c:pt>
              </c:strCache>
            </c:strRef>
          </c:tx>
          <c:spPr>
            <a:ln w="666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ĐỒ'!$AB$21:$AM$21</c:f>
              <c:numCache>
                <c:formatCode>_(* #,##0_);_(* \(#,##0\);_(* "-"??_);_(@_)</c:formatCode>
                <c:ptCount val="3"/>
                <c:pt idx="0">
                  <c:v>13311.084000000003</c:v>
                </c:pt>
                <c:pt idx="1">
                  <c:v>13025.609999999999</c:v>
                </c:pt>
                <c:pt idx="2">
                  <c:v>13119.27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E-40AC-8735-5C371014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58976"/>
        <c:axId val="440055712"/>
      </c:lineChart>
      <c:catAx>
        <c:axId val="440058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0055712"/>
        <c:crosses val="autoZero"/>
        <c:auto val="1"/>
        <c:lblAlgn val="ctr"/>
        <c:lblOffset val="100"/>
        <c:noMultiLvlLbl val="0"/>
      </c:catAx>
      <c:valAx>
        <c:axId val="440055712"/>
        <c:scaling>
          <c:orientation val="minMax"/>
          <c:max val="20000"/>
          <c:min val="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58976"/>
        <c:crosses val="autoZero"/>
        <c:crossBetween val="between"/>
        <c:majorUnit val="1000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0147503291995496E-2"/>
          <c:y val="6.4373913488086715E-2"/>
          <c:w val="0.18471548299230012"/>
          <c:h val="0.90144996080035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674740321889298E-2"/>
          <c:y val="5.2868312926852727E-2"/>
          <c:w val="0.71682098765432101"/>
          <c:h val="0.9441056910569105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7-4107-9668-6F874BD79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7-4107-9668-6F874BD790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7-4107-9668-6F874BD79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17-4107-9668-6F874BD790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17-4107-9668-6F874BD79000}"/>
              </c:ext>
            </c:extLst>
          </c:dPt>
          <c:dLbls>
            <c:dLbl>
              <c:idx val="1"/>
              <c:layout>
                <c:manualLayout>
                  <c:x val="-1.4914243102162564E-3"/>
                  <c:y val="-9.9476439790575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17-4107-9668-6F874BD7900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17-4107-9668-6F874BD7900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17-4107-9668-6F874BD7900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17-4107-9668-6F874BD79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117-4107-9668-6F874BD790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388336646785953E-2"/>
          <c:y val="1.5831134564643801E-2"/>
          <c:w val="0.72432074221338638"/>
          <c:h val="0.961301671064204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A0-4467-B7B8-7C2C2CBA1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A0-4467-B7B8-7C2C2CBA11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A0-4467-B7B8-7C2C2CBA11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A0-4467-B7B8-7C2C2CBA11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A0-4467-B7B8-7C2C2CBA11B5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A0-4467-B7B8-7C2C2CBA11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A0-4467-B7B8-7C2C2CBA11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9A0-4467-B7B8-7C2C2CBA11B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6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960609118047823E-2"/>
          <c:y val="0.10083053571791897"/>
          <c:w val="0.76914884712340503"/>
          <c:h val="0.8707845519439608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'BIỂU ĐỒ'!$T$30</c:f>
              <c:strCache>
                <c:ptCount val="1"/>
                <c:pt idx="0">
                  <c:v>Giấy mặt-KH</c:v>
                </c:pt>
              </c:strCache>
            </c:strRef>
          </c:tx>
          <c:spPr>
            <a:gradFill>
              <a:gsLst>
                <a:gs pos="45000">
                  <a:schemeClr val="bg1"/>
                </a:gs>
                <a:gs pos="0">
                  <a:schemeClr val="accent5">
                    <a:lumMod val="89000"/>
                  </a:schemeClr>
                </a:gs>
                <a:gs pos="100000">
                  <a:schemeClr val="accent5">
                    <a:lumMod val="75000"/>
                  </a:schemeClr>
                </a:gs>
                <a:gs pos="97000">
                  <a:schemeClr val="accent5">
                    <a:lumMod val="70000"/>
                  </a:schemeClr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ĐỒ'!$AO$30:$BT$30</c:f>
              <c:numCache>
                <c:formatCode>_(* #,##0_);_(* \(#,##0\);_(* "-"??_);_(@_)</c:formatCode>
                <c:ptCount val="12"/>
                <c:pt idx="0">
                  <c:v>500</c:v>
                </c:pt>
                <c:pt idx="1">
                  <c:v>510</c:v>
                </c:pt>
                <c:pt idx="2">
                  <c:v>500</c:v>
                </c:pt>
                <c:pt idx="3">
                  <c:v>530</c:v>
                </c:pt>
                <c:pt idx="4">
                  <c:v>540</c:v>
                </c:pt>
                <c:pt idx="5">
                  <c:v>530</c:v>
                </c:pt>
                <c:pt idx="6">
                  <c:v>480</c:v>
                </c:pt>
                <c:pt idx="7">
                  <c:v>450</c:v>
                </c:pt>
                <c:pt idx="8">
                  <c:v>165</c:v>
                </c:pt>
                <c:pt idx="9">
                  <c:v>320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C4-4620-8A72-8DA6BA76633C}"/>
            </c:ext>
          </c:extLst>
        </c:ser>
        <c:ser>
          <c:idx val="0"/>
          <c:order val="1"/>
          <c:tx>
            <c:strRef>
              <c:f>'BIỂU ĐỒ'!$T$34</c:f>
              <c:strCache>
                <c:ptCount val="1"/>
                <c:pt idx="0">
                  <c:v> Giấy mặt-TT </c:v>
                </c:pt>
              </c:strCache>
            </c:strRef>
          </c:tx>
          <c:spPr>
            <a:gradFill>
              <a:gsLst>
                <a:gs pos="46000">
                  <a:schemeClr val="bg1"/>
                </a:gs>
                <a:gs pos="0">
                  <a:schemeClr val="accent2">
                    <a:lumMod val="89000"/>
                  </a:schemeClr>
                </a:gs>
                <a:gs pos="100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'BIỂU ĐỒ'!$AO$34:$BT$34</c:f>
              <c:numCache>
                <c:formatCode>_(* #,##0_);_(* \(#,##0\);_(* "-"??_);_(@_)</c:formatCode>
                <c:ptCount val="12"/>
                <c:pt idx="0">
                  <c:v>494.69900000000001</c:v>
                </c:pt>
                <c:pt idx="1">
                  <c:v>484.96100000000001</c:v>
                </c:pt>
                <c:pt idx="2">
                  <c:v>426.851</c:v>
                </c:pt>
                <c:pt idx="3">
                  <c:v>510.07499999999999</c:v>
                </c:pt>
                <c:pt idx="4">
                  <c:v>525.928</c:v>
                </c:pt>
                <c:pt idx="5">
                  <c:v>517.88300000000004</c:v>
                </c:pt>
                <c:pt idx="6">
                  <c:v>437.34</c:v>
                </c:pt>
                <c:pt idx="7">
                  <c:v>434.61</c:v>
                </c:pt>
                <c:pt idx="8">
                  <c:v>160.49700000000001</c:v>
                </c:pt>
                <c:pt idx="9">
                  <c:v>293.68400000000003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C4-4620-8A72-8DA6BA766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40064416"/>
        <c:axId val="440069312"/>
      </c:barChart>
      <c:lineChart>
        <c:grouping val="standard"/>
        <c:varyColors val="0"/>
        <c:ser>
          <c:idx val="2"/>
          <c:order val="2"/>
          <c:tx>
            <c:strRef>
              <c:f>'BIỂU ĐỒ'!$S$11</c:f>
              <c:strCache>
                <c:ptCount val="1"/>
                <c:pt idx="0">
                  <c:v>Tỷ lệ đạt  THỰC TẾ -GIẤY MẶT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17"/>
            <c:spPr>
              <a:solidFill>
                <a:srgbClr val="002060"/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996440032969153E-2"/>
                  <c:y val="-0.125167469737924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7F-47E2-8554-FFC2D78F5A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ĐỒ'!$AO$11:$BT$11</c:f>
              <c:numCache>
                <c:formatCode>0%</c:formatCode>
                <c:ptCount val="12"/>
                <c:pt idx="0">
                  <c:v>0.989398</c:v>
                </c:pt>
                <c:pt idx="1">
                  <c:v>0.95090392156862746</c:v>
                </c:pt>
                <c:pt idx="2">
                  <c:v>0.85370199999999996</c:v>
                </c:pt>
                <c:pt idx="3">
                  <c:v>0.96240566037735842</c:v>
                </c:pt>
                <c:pt idx="4">
                  <c:v>0.97394074074074077</c:v>
                </c:pt>
                <c:pt idx="5">
                  <c:v>0.97713773584905672</c:v>
                </c:pt>
                <c:pt idx="6">
                  <c:v>0.91112499999999996</c:v>
                </c:pt>
                <c:pt idx="7">
                  <c:v>0.96579999999999999</c:v>
                </c:pt>
                <c:pt idx="8">
                  <c:v>0.97270909090909097</c:v>
                </c:pt>
                <c:pt idx="9">
                  <c:v>0.91776250000000004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C4-4620-8A72-8DA6BA76633C}"/>
            </c:ext>
          </c:extLst>
        </c:ser>
        <c:ser>
          <c:idx val="3"/>
          <c:order val="3"/>
          <c:tx>
            <c:strRef>
              <c:f>'BIỂU ĐỒ'!$T$23</c:f>
              <c:strCache>
                <c:ptCount val="1"/>
                <c:pt idx="0">
                  <c:v> Muc tiêu TỶ LỆ   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'BIỂU ĐỒ'!$AO$23:$BT$23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5-434C-A7D5-09DFEED35D8F}"/>
            </c:ext>
          </c:extLst>
        </c:ser>
        <c:ser>
          <c:idx val="4"/>
          <c:order val="4"/>
          <c:tx>
            <c:strRef>
              <c:f>'BIỂU ĐỒ'!$T$24</c:f>
              <c:strCache>
                <c:ptCount val="1"/>
                <c:pt idx="0">
                  <c:v> Muc tiêu TỶ LỆ  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'BIỂU ĐỒ'!$AO$24:$BT$24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5-434C-A7D5-09DFEED3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67680"/>
        <c:axId val="440078560"/>
      </c:lineChart>
      <c:valAx>
        <c:axId val="440069312"/>
        <c:scaling>
          <c:orientation val="minMax"/>
          <c:max val="1000"/>
          <c:min val="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64416"/>
        <c:crosses val="max"/>
        <c:crossBetween val="between"/>
      </c:valAx>
      <c:catAx>
        <c:axId val="44006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0069312"/>
        <c:crosses val="autoZero"/>
        <c:auto val="1"/>
        <c:lblAlgn val="ctr"/>
        <c:lblOffset val="100"/>
        <c:noMultiLvlLbl val="0"/>
      </c:catAx>
      <c:valAx>
        <c:axId val="440078560"/>
        <c:scaling>
          <c:orientation val="minMax"/>
          <c:max val="1.5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67680"/>
        <c:crosses val="autoZero"/>
        <c:crossBetween val="between"/>
      </c:valAx>
      <c:catAx>
        <c:axId val="440067680"/>
        <c:scaling>
          <c:orientation val="minMax"/>
        </c:scaling>
        <c:delete val="1"/>
        <c:axPos val="b"/>
        <c:majorTickMark val="out"/>
        <c:minorTickMark val="none"/>
        <c:tickLblPos val="nextTo"/>
        <c:crossAx val="440078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645831385091118"/>
          <c:y val="6.7658557605672423E-2"/>
          <c:w val="0.14702050139544609"/>
          <c:h val="0.87476632585105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789630069826175E-2"/>
          <c:y val="8.3583832020997381E-2"/>
          <c:w val="0.74189755432514404"/>
          <c:h val="0.8464243569553804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'BIỂU ĐỒ'!$T$18</c:f>
              <c:strCache>
                <c:ptCount val="1"/>
                <c:pt idx="0">
                  <c:v> SL Lũy kế giấy sóng-TT </c:v>
                </c:pt>
              </c:strCache>
            </c:strRef>
          </c:tx>
          <c:spPr>
            <a:solidFill>
              <a:srgbClr val="EB6E1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ĐỒ'!$AO$18:$BT$18</c:f>
              <c:numCache>
                <c:formatCode>_(* #,##0_);_(* \(#,##0\);_(* "-"??_);_(@_)</c:formatCode>
                <c:ptCount val="12"/>
                <c:pt idx="0">
                  <c:v>705.18299999999999</c:v>
                </c:pt>
                <c:pt idx="1">
                  <c:v>705.18299999999999</c:v>
                </c:pt>
                <c:pt idx="2">
                  <c:v>705.18299999999999</c:v>
                </c:pt>
                <c:pt idx="3">
                  <c:v>705.18299999999999</c:v>
                </c:pt>
                <c:pt idx="4">
                  <c:v>705.18299999999999</c:v>
                </c:pt>
                <c:pt idx="5">
                  <c:v>705.18299999999999</c:v>
                </c:pt>
                <c:pt idx="6">
                  <c:v>705.18299999999999</c:v>
                </c:pt>
                <c:pt idx="7">
                  <c:v>751.63</c:v>
                </c:pt>
                <c:pt idx="8">
                  <c:v>906.66100000000006</c:v>
                </c:pt>
                <c:pt idx="9">
                  <c:v>941.50200000000007</c:v>
                </c:pt>
                <c:pt idx="10">
                  <c:v>941.50200000000007</c:v>
                </c:pt>
                <c:pt idx="11">
                  <c:v>941.50200000000007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A-499D-81D6-CB836D877280}"/>
            </c:ext>
          </c:extLst>
        </c:ser>
        <c:ser>
          <c:idx val="3"/>
          <c:order val="2"/>
          <c:tx>
            <c:strRef>
              <c:f>'BIỂU ĐỒ'!$T$19</c:f>
              <c:strCache>
                <c:ptCount val="1"/>
                <c:pt idx="0">
                  <c:v> SL Lũy kế giấy mặt-TT </c:v>
                </c:pt>
              </c:strCache>
            </c:strRef>
          </c:tx>
          <c:spPr>
            <a:solidFill>
              <a:srgbClr val="00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ĐỒ'!$AO$19:$BT$19</c:f>
              <c:numCache>
                <c:formatCode>_(* #,##0_);_(* \(#,##0\);_(* "-"??_);_(@_)</c:formatCode>
                <c:ptCount val="12"/>
                <c:pt idx="0">
                  <c:v>7353.5309999999999</c:v>
                </c:pt>
                <c:pt idx="1">
                  <c:v>7838.4920000000002</c:v>
                </c:pt>
                <c:pt idx="2">
                  <c:v>8265.3430000000008</c:v>
                </c:pt>
                <c:pt idx="3">
                  <c:v>8775.4180000000015</c:v>
                </c:pt>
                <c:pt idx="4">
                  <c:v>9301.3460000000014</c:v>
                </c:pt>
                <c:pt idx="5">
                  <c:v>9819.2290000000012</c:v>
                </c:pt>
                <c:pt idx="6">
                  <c:v>10256.569000000001</c:v>
                </c:pt>
                <c:pt idx="7">
                  <c:v>10691.179000000002</c:v>
                </c:pt>
                <c:pt idx="8">
                  <c:v>10851.676000000001</c:v>
                </c:pt>
                <c:pt idx="9">
                  <c:v>11145.36</c:v>
                </c:pt>
                <c:pt idx="10">
                  <c:v>11145.36</c:v>
                </c:pt>
                <c:pt idx="11">
                  <c:v>11145.36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1A-499D-81D6-CB836D87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440065504"/>
        <c:axId val="440070400"/>
      </c:barChart>
      <c:lineChart>
        <c:grouping val="standard"/>
        <c:varyColors val="0"/>
        <c:ser>
          <c:idx val="1"/>
          <c:order val="0"/>
          <c:tx>
            <c:strRef>
              <c:f>'BIỂU ĐỒ'!$T$17</c:f>
              <c:strCache>
                <c:ptCount val="1"/>
                <c:pt idx="0">
                  <c:v> SL Lũy kế Tổng -KH </c:v>
                </c:pt>
              </c:strCache>
            </c:strRef>
          </c:tx>
          <c:spPr>
            <a:ln w="666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'BIỂU ĐỒ'!$AO$17:$BT$17</c:f>
              <c:numCache>
                <c:formatCode>_(* #,##0_);_(* \(#,##0\);_(* "-"??_);_(@_)</c:formatCode>
                <c:ptCount val="12"/>
                <c:pt idx="0">
                  <c:v>8600</c:v>
                </c:pt>
                <c:pt idx="1">
                  <c:v>9110</c:v>
                </c:pt>
                <c:pt idx="2">
                  <c:v>9610</c:v>
                </c:pt>
                <c:pt idx="3">
                  <c:v>10140</c:v>
                </c:pt>
                <c:pt idx="4">
                  <c:v>10680</c:v>
                </c:pt>
                <c:pt idx="5">
                  <c:v>11210</c:v>
                </c:pt>
                <c:pt idx="6">
                  <c:v>11690</c:v>
                </c:pt>
                <c:pt idx="7">
                  <c:v>12190</c:v>
                </c:pt>
                <c:pt idx="8">
                  <c:v>12520</c:v>
                </c:pt>
                <c:pt idx="9">
                  <c:v>13000</c:v>
                </c:pt>
                <c:pt idx="10">
                  <c:v>13500</c:v>
                </c:pt>
                <c:pt idx="11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1A-499D-81D6-CB836D877280}"/>
            </c:ext>
          </c:extLst>
        </c:ser>
        <c:ser>
          <c:idx val="0"/>
          <c:order val="3"/>
          <c:tx>
            <c:strRef>
              <c:f>'BIỂU ĐỒ'!$T$21</c:f>
              <c:strCache>
                <c:ptCount val="1"/>
                <c:pt idx="0">
                  <c:v> SL Lũy kế Tổng -TT </c:v>
                </c:pt>
              </c:strCache>
            </c:strRef>
          </c:tx>
          <c:spPr>
            <a:ln w="508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ĐỒ'!$AO$21:$BT$21</c:f>
              <c:numCache>
                <c:formatCode>_(* #,##0_);_(* \(#,##0\);_(* "-"??_);_(@_)</c:formatCode>
                <c:ptCount val="12"/>
                <c:pt idx="0">
                  <c:v>8058.7140000000009</c:v>
                </c:pt>
                <c:pt idx="1">
                  <c:v>8543.6750000000011</c:v>
                </c:pt>
                <c:pt idx="2">
                  <c:v>8970.5260000000017</c:v>
                </c:pt>
                <c:pt idx="3">
                  <c:v>9480.6010000000024</c:v>
                </c:pt>
                <c:pt idx="4">
                  <c:v>10006.529000000002</c:v>
                </c:pt>
                <c:pt idx="5">
                  <c:v>10524.412000000002</c:v>
                </c:pt>
                <c:pt idx="6">
                  <c:v>10961.752000000002</c:v>
                </c:pt>
                <c:pt idx="7">
                  <c:v>11442.809000000003</c:v>
                </c:pt>
                <c:pt idx="8">
                  <c:v>11758.337000000003</c:v>
                </c:pt>
                <c:pt idx="9">
                  <c:v>12206.055000000004</c:v>
                </c:pt>
                <c:pt idx="10">
                  <c:v>12690.596000000003</c:v>
                </c:pt>
                <c:pt idx="11">
                  <c:v>13119.270000000004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6-42F1-B91E-414853ADD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65504"/>
        <c:axId val="440070400"/>
      </c:lineChart>
      <c:catAx>
        <c:axId val="440065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0070400"/>
        <c:crosses val="autoZero"/>
        <c:auto val="1"/>
        <c:lblAlgn val="ctr"/>
        <c:lblOffset val="100"/>
        <c:noMultiLvlLbl val="0"/>
      </c:catAx>
      <c:valAx>
        <c:axId val="44007040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071419624156316"/>
          <c:y val="3.3817112860892382E-2"/>
          <c:w val="0.15279096735424627"/>
          <c:h val="0.90607349173390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45780830692096E-2"/>
          <c:y val="5.8945146859633014E-2"/>
          <c:w val="0.76301056615169127"/>
          <c:h val="0.87734576060263536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'BIỂU ĐỒ'!$T$32</c:f>
              <c:strCache>
                <c:ptCount val="1"/>
                <c:pt idx="0">
                  <c:v> TỔNG SL KẾ HOẠCH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ĐỒ'!$AO$32:$BT$32</c:f>
              <c:numCache>
                <c:formatCode>_(* #,##0_);_(* \(#,##0\);_(* "-"??_);_(@_)</c:formatCode>
                <c:ptCount val="12"/>
                <c:pt idx="0">
                  <c:v>500</c:v>
                </c:pt>
                <c:pt idx="1">
                  <c:v>510</c:v>
                </c:pt>
                <c:pt idx="2">
                  <c:v>500</c:v>
                </c:pt>
                <c:pt idx="3">
                  <c:v>530</c:v>
                </c:pt>
                <c:pt idx="4">
                  <c:v>540</c:v>
                </c:pt>
                <c:pt idx="5">
                  <c:v>530</c:v>
                </c:pt>
                <c:pt idx="6">
                  <c:v>480</c:v>
                </c:pt>
                <c:pt idx="7">
                  <c:v>500</c:v>
                </c:pt>
                <c:pt idx="8">
                  <c:v>330</c:v>
                </c:pt>
                <c:pt idx="9">
                  <c:v>480</c:v>
                </c:pt>
                <c:pt idx="10">
                  <c:v>500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33-4C89-9BE7-466C66D883AE}"/>
            </c:ext>
          </c:extLst>
        </c:ser>
        <c:ser>
          <c:idx val="3"/>
          <c:order val="2"/>
          <c:tx>
            <c:strRef>
              <c:f>'BIỂU ĐỒ'!$T$36</c:f>
              <c:strCache>
                <c:ptCount val="1"/>
                <c:pt idx="0">
                  <c:v> TỔNG SL THƯC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ĐỒ'!$AO$36:$BT$36</c:f>
              <c:numCache>
                <c:formatCode>_(* #,##0_);_(* \(#,##0\);_(* "-"??_);_(@_)</c:formatCode>
                <c:ptCount val="12"/>
                <c:pt idx="0">
                  <c:v>494.69900000000001</c:v>
                </c:pt>
                <c:pt idx="1">
                  <c:v>484.96100000000001</c:v>
                </c:pt>
                <c:pt idx="2">
                  <c:v>426.851</c:v>
                </c:pt>
                <c:pt idx="3">
                  <c:v>510.07499999999999</c:v>
                </c:pt>
                <c:pt idx="4">
                  <c:v>525.928</c:v>
                </c:pt>
                <c:pt idx="5">
                  <c:v>517.88300000000004</c:v>
                </c:pt>
                <c:pt idx="6">
                  <c:v>437.34</c:v>
                </c:pt>
                <c:pt idx="7">
                  <c:v>481.05700000000002</c:v>
                </c:pt>
                <c:pt idx="8">
                  <c:v>315.52800000000002</c:v>
                </c:pt>
                <c:pt idx="9">
                  <c:v>447.71800000000002</c:v>
                </c:pt>
                <c:pt idx="10">
                  <c:v>484.541</c:v>
                </c:pt>
                <c:pt idx="11">
                  <c:v>428.67399999999998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33-4C89-9BE7-466C66D88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40084544"/>
        <c:axId val="440072032"/>
      </c:barChart>
      <c:lineChart>
        <c:grouping val="standard"/>
        <c:varyColors val="0"/>
        <c:ser>
          <c:idx val="0"/>
          <c:order val="0"/>
          <c:tx>
            <c:strRef>
              <c:f>'BIỂU ĐỒ'!$S$14</c:f>
              <c:strCache>
                <c:ptCount val="1"/>
                <c:pt idx="0">
                  <c:v>Tỷ lệ đạt THƯC TẾ -TOTAL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 w="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ĐỒ'!$AO$14:$BT$14</c:f>
              <c:numCache>
                <c:formatCode>0%</c:formatCode>
                <c:ptCount val="12"/>
                <c:pt idx="0">
                  <c:v>0.989398</c:v>
                </c:pt>
                <c:pt idx="1">
                  <c:v>0.95090392156862746</c:v>
                </c:pt>
                <c:pt idx="2">
                  <c:v>0.85370199999999996</c:v>
                </c:pt>
                <c:pt idx="3">
                  <c:v>0.96240566037735842</c:v>
                </c:pt>
                <c:pt idx="4">
                  <c:v>0.97394074074074077</c:v>
                </c:pt>
                <c:pt idx="5">
                  <c:v>0.97713773584905672</c:v>
                </c:pt>
                <c:pt idx="6">
                  <c:v>0.91112499999999996</c:v>
                </c:pt>
                <c:pt idx="7">
                  <c:v>0.96211400000000002</c:v>
                </c:pt>
                <c:pt idx="8">
                  <c:v>0.95614545454545463</c:v>
                </c:pt>
                <c:pt idx="9">
                  <c:v>0.93274583333333339</c:v>
                </c:pt>
                <c:pt idx="10">
                  <c:v>0.969082</c:v>
                </c:pt>
                <c:pt idx="11">
                  <c:v>0.857348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33-4C89-9BE7-466C66D883AE}"/>
            </c:ext>
          </c:extLst>
        </c:ser>
        <c:ser>
          <c:idx val="1"/>
          <c:order val="3"/>
          <c:tx>
            <c:strRef>
              <c:f>'BIỂU ĐỒ'!$T$23</c:f>
              <c:strCache>
                <c:ptCount val="1"/>
                <c:pt idx="0">
                  <c:v> Muc tiêu TỶ LỆ  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'BIỂU ĐỒ'!$AO$23:$BT$23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33-4C89-9BE7-466C66D883AE}"/>
            </c:ext>
          </c:extLst>
        </c:ser>
        <c:ser>
          <c:idx val="4"/>
          <c:order val="4"/>
          <c:tx>
            <c:strRef>
              <c:f>'BIỂU ĐỒ'!$T$24</c:f>
              <c:strCache>
                <c:ptCount val="1"/>
                <c:pt idx="0">
                  <c:v> Muc tiêu TỶ LỆ  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'BIỂU ĐỒ'!$AO$24:$BT$24</c:f>
              <c:numCache>
                <c:formatCode>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33-4C89-9BE7-466C66D88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67136"/>
        <c:axId val="440066048"/>
      </c:lineChart>
      <c:valAx>
        <c:axId val="440072032"/>
        <c:scaling>
          <c:orientation val="minMax"/>
          <c:max val="80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84544"/>
        <c:crosses val="autoZero"/>
        <c:crossBetween val="between"/>
      </c:valAx>
      <c:catAx>
        <c:axId val="440084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0072032"/>
        <c:crosses val="autoZero"/>
        <c:auto val="1"/>
        <c:lblAlgn val="ctr"/>
        <c:lblOffset val="100"/>
        <c:noMultiLvlLbl val="0"/>
      </c:catAx>
      <c:valAx>
        <c:axId val="440066048"/>
        <c:scaling>
          <c:orientation val="minMax"/>
          <c:max val="1.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67136"/>
        <c:crosses val="max"/>
        <c:crossBetween val="between"/>
      </c:valAx>
      <c:catAx>
        <c:axId val="440067136"/>
        <c:scaling>
          <c:orientation val="minMax"/>
        </c:scaling>
        <c:delete val="1"/>
        <c:axPos val="b"/>
        <c:majorTickMark val="out"/>
        <c:minorTickMark val="none"/>
        <c:tickLblPos val="nextTo"/>
        <c:crossAx val="44006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243680702167687"/>
          <c:y val="5.7321331924434935E-2"/>
          <c:w val="0.16216943857627555"/>
          <c:h val="0.8819910051090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4139121196793578"/>
          <c:w val="1"/>
          <c:h val="0.8312727756856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'BIỂU ĐỒ'!$T$30</c:f>
              <c:strCache>
                <c:ptCount val="1"/>
                <c:pt idx="0">
                  <c:v>Giấy mặt-KH</c:v>
                </c:pt>
              </c:strCache>
            </c:strRef>
          </c:tx>
          <c:spPr>
            <a:gradFill flip="none" rotWithShape="1">
              <a:gsLst>
                <a:gs pos="45000">
                  <a:schemeClr val="bg1"/>
                </a:gs>
                <a:gs pos="0">
                  <a:schemeClr val="accent5">
                    <a:lumMod val="89000"/>
                  </a:schemeClr>
                </a:gs>
                <a:gs pos="100000">
                  <a:schemeClr val="accent5">
                    <a:lumMod val="75000"/>
                  </a:schemeClr>
                </a:gs>
                <a:gs pos="97000">
                  <a:schemeClr val="accent5">
                    <a:lumMod val="7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'BIỂU ĐỒ'!$V$11:$AA$11</c:f>
              <c:numCache>
                <c:formatCode>0%</c:formatCode>
                <c:ptCount val="4"/>
                <c:pt idx="0">
                  <c:v>0.97833538821716581</c:v>
                </c:pt>
                <c:pt idx="1">
                  <c:v>0.94952738476272014</c:v>
                </c:pt>
                <c:pt idx="2">
                  <c:v>0.93021103818162276</c:v>
                </c:pt>
                <c:pt idx="3">
                  <c:v>0</c:v>
                </c:pt>
              </c:numCache>
            </c:numRef>
          </c:cat>
          <c:val>
            <c:numRef>
              <c:f>'BIỂU ĐỒ'!$V$30:$AA$30</c:f>
              <c:numCache>
                <c:formatCode>_(* #,##0_);_(* \(#,##0\);_(* "-"??_);_(@_)</c:formatCode>
                <c:ptCount val="4"/>
                <c:pt idx="0">
                  <c:v>92552.525740332523</c:v>
                </c:pt>
                <c:pt idx="1">
                  <c:v>95041.5401559077</c:v>
                </c:pt>
                <c:pt idx="2">
                  <c:v>121993</c:v>
                </c:pt>
                <c:pt idx="3">
                  <c:v>54940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5-483D-822E-261FCB396118}"/>
            </c:ext>
          </c:extLst>
        </c:ser>
        <c:ser>
          <c:idx val="1"/>
          <c:order val="1"/>
          <c:tx>
            <c:strRef>
              <c:f>'BIỂU ĐỒ'!$T$34</c:f>
              <c:strCache>
                <c:ptCount val="1"/>
                <c:pt idx="0">
                  <c:v> Giấy mặt-TT </c:v>
                </c:pt>
              </c:strCache>
            </c:strRef>
          </c:tx>
          <c:spPr>
            <a:gradFill flip="none" rotWithShape="1">
              <a:gsLst>
                <a:gs pos="46000">
                  <a:schemeClr val="bg1"/>
                </a:gs>
                <a:gs pos="0">
                  <a:schemeClr val="accent2">
                    <a:lumMod val="89000"/>
                  </a:schemeClr>
                </a:gs>
                <a:gs pos="100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'BIỂU ĐỒ'!$V$11:$AA$11</c:f>
              <c:numCache>
                <c:formatCode>0%</c:formatCode>
                <c:ptCount val="4"/>
                <c:pt idx="0">
                  <c:v>0.97833538821716581</c:v>
                </c:pt>
                <c:pt idx="1">
                  <c:v>0.94952738476272014</c:v>
                </c:pt>
                <c:pt idx="2">
                  <c:v>0.93021103818162276</c:v>
                </c:pt>
                <c:pt idx="3">
                  <c:v>0</c:v>
                </c:pt>
              </c:numCache>
            </c:numRef>
          </c:cat>
          <c:val>
            <c:numRef>
              <c:f>'BIỂU ĐỒ'!$V$34:$AA$34</c:f>
              <c:numCache>
                <c:formatCode>_(* #,##0_);_(* \(#,##0\);_(* "-"??_);_(@_)</c:formatCode>
                <c:ptCount val="4"/>
                <c:pt idx="0">
                  <c:v>90749.445000000007</c:v>
                </c:pt>
                <c:pt idx="1">
                  <c:v>90236.047999999981</c:v>
                </c:pt>
                <c:pt idx="2">
                  <c:v>113789.605</c:v>
                </c:pt>
                <c:pt idx="3">
                  <c:v>51853.367999999995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5-483D-822E-261FCB396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40063328"/>
        <c:axId val="440073664"/>
      </c:barChart>
      <c:lineChart>
        <c:grouping val="standard"/>
        <c:varyColors val="0"/>
        <c:ser>
          <c:idx val="2"/>
          <c:order val="2"/>
          <c:tx>
            <c:strRef>
              <c:f>'BIỂU ĐỒ'!$S$11</c:f>
              <c:strCache>
                <c:ptCount val="1"/>
                <c:pt idx="0">
                  <c:v>Tỷ lệ đạt  THỰC TẾ -GIẤY MẶT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17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848993274193529"/>
                  <c:y val="-0.416394605482424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2B-494D-9722-989BBB36EBBC}"/>
                </c:ext>
              </c:extLst>
            </c:dLbl>
            <c:dLbl>
              <c:idx val="1"/>
              <c:layout>
                <c:manualLayout>
                  <c:x val="-0.1139600169897047"/>
                  <c:y val="-0.682209196435468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2B-494D-9722-989BBB36EBBC}"/>
                </c:ext>
              </c:extLst>
            </c:dLbl>
            <c:dLbl>
              <c:idx val="2"/>
              <c:layout>
                <c:manualLayout>
                  <c:x val="-5.6016674386289947E-2"/>
                  <c:y val="-0.701256038647342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9D-4FFA-BD5A-61F94DF6B990}"/>
                </c:ext>
              </c:extLst>
            </c:dLbl>
            <c:dLbl>
              <c:idx val="3"/>
              <c:layout>
                <c:manualLayout>
                  <c:x val="-2.6723614870379095E-2"/>
                  <c:y val="-0.183588301462317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F5-483D-822E-261FCB396118}"/>
                </c:ext>
              </c:extLst>
            </c:dLbl>
            <c:dLbl>
              <c:idx val="8"/>
              <c:layout>
                <c:manualLayout>
                  <c:x val="-3.4471856863005579E-2"/>
                  <c:y val="-0.177785116688683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F5-483D-822E-261FCB396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'BIỂU ĐỒ'!$V$11:$X$11</c:f>
              <c:numCache>
                <c:formatCode>0%</c:formatCode>
                <c:ptCount val="1"/>
                <c:pt idx="0">
                  <c:v>0.97833538821716581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83D-822E-261FCB396118}"/>
            </c:ext>
          </c:extLst>
        </c:ser>
        <c:ser>
          <c:idx val="3"/>
          <c:order val="3"/>
          <c:tx>
            <c:strRef>
              <c:f>'BIỂU ĐỒ'!$T$23</c:f>
              <c:strCache>
                <c:ptCount val="1"/>
                <c:pt idx="0">
                  <c:v> Muc tiêu TỶ LỆ   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'BIỂU ĐỒ'!$V$23:$X$23</c:f>
              <c:numCache>
                <c:formatCode>0%</c:formatCode>
                <c:ptCount val="1"/>
                <c:pt idx="0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83D-822E-261FCB396118}"/>
            </c:ext>
          </c:extLst>
        </c:ser>
        <c:ser>
          <c:idx val="4"/>
          <c:order val="4"/>
          <c:tx>
            <c:strRef>
              <c:f>'BIỂU ĐỒ'!$T$24</c:f>
              <c:strCache>
                <c:ptCount val="1"/>
                <c:pt idx="0">
                  <c:v> Muc tiêu TỶ LỆ  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dash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'BIỂU ĐỒ'!$V$24:$X$24</c:f>
              <c:numCache>
                <c:formatCode>0%</c:formatCode>
                <c:ptCount val="1"/>
                <c:pt idx="0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83D-822E-261FCB396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0736"/>
        <c:axId val="440076928"/>
      </c:lineChart>
      <c:valAx>
        <c:axId val="440073664"/>
        <c:scaling>
          <c:orientation val="minMax"/>
          <c:max val="120000"/>
          <c:min val="0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440063328"/>
        <c:crosses val="max"/>
        <c:crossBetween val="between"/>
      </c:valAx>
      <c:catAx>
        <c:axId val="440063328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440073664"/>
        <c:crosses val="autoZero"/>
        <c:auto val="1"/>
        <c:lblAlgn val="ctr"/>
        <c:lblOffset val="100"/>
        <c:noMultiLvlLbl val="0"/>
      </c:catAx>
      <c:valAx>
        <c:axId val="440076928"/>
        <c:scaling>
          <c:orientation val="minMax"/>
          <c:max val="1.2"/>
        </c:scaling>
        <c:delete val="1"/>
        <c:axPos val="l"/>
        <c:numFmt formatCode="0%" sourceLinked="1"/>
        <c:majorTickMark val="out"/>
        <c:minorTickMark val="none"/>
        <c:tickLblPos val="nextTo"/>
        <c:crossAx val="440080736"/>
        <c:crosses val="autoZero"/>
        <c:crossBetween val="between"/>
      </c:valAx>
      <c:catAx>
        <c:axId val="440080736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44007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579924460661923E-3"/>
          <c:y val="2.7909144741053708E-2"/>
          <c:w val="0.99784200755393382"/>
          <c:h val="0.94441281226703366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'BIỂU ĐỒ'!$T$32</c:f>
              <c:strCache>
                <c:ptCount val="1"/>
                <c:pt idx="0">
                  <c:v> TỔNG SL KẾ HOẠCH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ĐỒ'!$V$32:$AA$32</c:f>
              <c:numCache>
                <c:formatCode>_(* #,##0_);_(* \(#,##0\);_(* "-"??_);_(@_)</c:formatCode>
                <c:ptCount val="4"/>
                <c:pt idx="0">
                  <c:v>127029.43207688394</c:v>
                </c:pt>
                <c:pt idx="1">
                  <c:v>127310.91890841219</c:v>
                </c:pt>
                <c:pt idx="2">
                  <c:v>159400</c:v>
                </c:pt>
                <c:pt idx="3">
                  <c:v>68335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1-41CE-BEE0-41FEC6F5102A}"/>
            </c:ext>
          </c:extLst>
        </c:ser>
        <c:ser>
          <c:idx val="2"/>
          <c:order val="2"/>
          <c:tx>
            <c:strRef>
              <c:f>'BIỂU ĐỒ'!$T$36</c:f>
              <c:strCache>
                <c:ptCount val="1"/>
                <c:pt idx="0">
                  <c:v> TỔNG SL THƯC TẾ 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ĐỒ'!$V$36:$AA$36</c:f>
              <c:numCache>
                <c:formatCode>_(* #,##0_);_(* \(#,##0\);_(* "-"??_);_(@_)</c:formatCode>
                <c:ptCount val="4"/>
                <c:pt idx="0">
                  <c:v>123844.25900000001</c:v>
                </c:pt>
                <c:pt idx="1">
                  <c:v>120737.95799999998</c:v>
                </c:pt>
                <c:pt idx="2">
                  <c:v>148037.459</c:v>
                </c:pt>
                <c:pt idx="3">
                  <c:v>64656.521999999997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1-41CE-BEE0-41FEC6F5102A}"/>
            </c:ext>
          </c:extLst>
        </c:ser>
        <c:ser>
          <c:idx val="5"/>
          <c:order val="5"/>
          <c:tx>
            <c:strRef>
              <c:f>'BIỂU ĐỒ'!$T$28</c:f>
              <c:strCache>
                <c:ptCount val="1"/>
                <c:pt idx="0">
                  <c:v> SẢN LƯƠNG KH NGẤN SÁCH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ĐỒ'!$V$28:$AA$28</c:f>
              <c:numCache>
                <c:formatCode>_(* #,##0_);_(* \(#,##0\);_(* "-"??_);_(@_)</c:formatCode>
                <c:ptCount val="4"/>
                <c:pt idx="0">
                  <c:v>127666</c:v>
                </c:pt>
                <c:pt idx="1">
                  <c:v>136881</c:v>
                </c:pt>
                <c:pt idx="2">
                  <c:v>159400</c:v>
                </c:pt>
                <c:pt idx="3">
                  <c:v>68335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91-41CE-BEE0-41FEC6F51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40080192"/>
        <c:axId val="440059520"/>
      </c:barChart>
      <c:lineChart>
        <c:grouping val="standard"/>
        <c:varyColors val="0"/>
        <c:ser>
          <c:idx val="1"/>
          <c:order val="0"/>
          <c:tx>
            <c:strRef>
              <c:f>'BIỂU ĐỒ'!$S$14</c:f>
              <c:strCache>
                <c:ptCount val="1"/>
                <c:pt idx="0">
                  <c:v>Tỷ lệ đạt THƯC TẾ -TOTAL</c:v>
                </c:pt>
              </c:strCache>
            </c:strRef>
          </c:tx>
          <c:spPr>
            <a:ln w="476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9240641324300393E-2"/>
                  <c:y val="-0.590994094488188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91-41CE-BEE0-41FEC6F5102A}"/>
                </c:ext>
              </c:extLst>
            </c:dLbl>
            <c:dLbl>
              <c:idx val="1"/>
              <c:layout>
                <c:manualLayout>
                  <c:x val="-8.7105929455165862E-2"/>
                  <c:y val="-0.848315168683182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73-4074-8902-E5B856640B50}"/>
                </c:ext>
              </c:extLst>
            </c:dLbl>
            <c:dLbl>
              <c:idx val="2"/>
              <c:layout>
                <c:manualLayout>
                  <c:x val="-5.4419832025195264E-2"/>
                  <c:y val="-0.830016084117534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91-41CE-BEE0-41FEC6F5102A}"/>
                </c:ext>
              </c:extLst>
            </c:dLbl>
            <c:dLbl>
              <c:idx val="3"/>
              <c:layout>
                <c:manualLayout>
                  <c:x val="-3.0285545134063941E-2"/>
                  <c:y val="-0.217464439285514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506033082887462E-2"/>
                      <c:h val="0.146175478065241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A91-41CE-BEE0-41FEC6F5102A}"/>
                </c:ext>
              </c:extLst>
            </c:dLbl>
            <c:dLbl>
              <c:idx val="4"/>
              <c:layout>
                <c:manualLayout>
                  <c:x val="-3.1225474727911349E-2"/>
                  <c:y val="-0.129782994408608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91-41CE-BEE0-41FEC6F5102A}"/>
                </c:ext>
              </c:extLst>
            </c:dLbl>
            <c:dLbl>
              <c:idx val="5"/>
              <c:layout>
                <c:manualLayout>
                  <c:x val="-2.4945400335624212E-2"/>
                  <c:y val="-0.170292942105641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91-41CE-BEE0-41FEC6F510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'BIỂU ĐỒ'!$V$14:$X$14</c:f>
              <c:numCache>
                <c:formatCode>0%</c:formatCode>
                <c:ptCount val="1"/>
                <c:pt idx="0">
                  <c:v>0.97246110069234437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91-41CE-BEE0-41FEC6F5102A}"/>
            </c:ext>
          </c:extLst>
        </c:ser>
        <c:ser>
          <c:idx val="3"/>
          <c:order val="3"/>
          <c:tx>
            <c:strRef>
              <c:f>'BIỂU ĐỒ'!$T$23</c:f>
              <c:strCache>
                <c:ptCount val="1"/>
                <c:pt idx="0">
                  <c:v> Muc tiêu TỶ LỆ  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'BIỂU ĐỒ'!$V$23:$X$23</c:f>
              <c:numCache>
                <c:formatCode>0%</c:formatCode>
                <c:ptCount val="1"/>
                <c:pt idx="0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91-41CE-BEE0-41FEC6F5102A}"/>
            </c:ext>
          </c:extLst>
        </c:ser>
        <c:ser>
          <c:idx val="4"/>
          <c:order val="4"/>
          <c:tx>
            <c:strRef>
              <c:f>'BIỂU ĐỒ'!$T$24</c:f>
              <c:strCache>
                <c:ptCount val="1"/>
                <c:pt idx="0">
                  <c:v> Muc tiêu TỶ LỆ  </c:v>
                </c:pt>
              </c:strCache>
            </c:strRef>
          </c:tx>
          <c:spPr>
            <a:ln w="381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'BIỂU ĐỒ'!$V$24:$Y$24</c:f>
              <c:numCache>
                <c:formatCode>0%</c:formatCode>
                <c:ptCount val="2"/>
                <c:pt idx="0">
                  <c:v>0.85</c:v>
                </c:pt>
                <c:pt idx="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91-41CE-BEE0-41FEC6F51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55168"/>
        <c:axId val="440074208"/>
      </c:lineChart>
      <c:valAx>
        <c:axId val="440059520"/>
        <c:scaling>
          <c:orientation val="minMax"/>
          <c:max val="130000"/>
          <c:min val="0"/>
        </c:scaling>
        <c:delete val="1"/>
        <c:axPos val="r"/>
        <c:numFmt formatCode="_(* #,##0_);_(* \(#,##0\);_(* &quot;-&quot;??_);_(@_)" sourceLinked="1"/>
        <c:majorTickMark val="out"/>
        <c:minorTickMark val="none"/>
        <c:tickLblPos val="nextTo"/>
        <c:crossAx val="440080192"/>
        <c:crosses val="max"/>
        <c:crossBetween val="between"/>
      </c:valAx>
      <c:catAx>
        <c:axId val="44008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0059520"/>
        <c:crosses val="autoZero"/>
        <c:auto val="1"/>
        <c:lblAlgn val="ctr"/>
        <c:lblOffset val="100"/>
        <c:noMultiLvlLbl val="0"/>
      </c:catAx>
      <c:valAx>
        <c:axId val="440074208"/>
        <c:scaling>
          <c:orientation val="minMax"/>
          <c:max val="1.05"/>
          <c:min val="0.75000000000000011"/>
        </c:scaling>
        <c:delete val="1"/>
        <c:axPos val="l"/>
        <c:numFmt formatCode="0%" sourceLinked="1"/>
        <c:majorTickMark val="out"/>
        <c:minorTickMark val="none"/>
        <c:tickLblPos val="nextTo"/>
        <c:crossAx val="440055168"/>
        <c:crosses val="autoZero"/>
        <c:crossBetween val="between"/>
      </c:valAx>
      <c:catAx>
        <c:axId val="440055168"/>
        <c:scaling>
          <c:orientation val="minMax"/>
        </c:scaling>
        <c:delete val="1"/>
        <c:axPos val="t"/>
        <c:majorTickMark val="out"/>
        <c:minorTickMark val="none"/>
        <c:tickLblPos val="nextTo"/>
        <c:crossAx val="44007420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397499477089787"/>
          <c:y val="0.11406408747117353"/>
          <c:w val="0.66602500522910213"/>
          <c:h val="0.85379541679433635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'BIỂU ĐỒ'!$T$18</c:f>
              <c:strCache>
                <c:ptCount val="1"/>
                <c:pt idx="0">
                  <c:v> SL Lũy kế giấy sóng-TT </c:v>
                </c:pt>
              </c:strCache>
            </c:strRef>
          </c:tx>
          <c:spPr>
            <a:solidFill>
              <a:srgbClr val="EB6E19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ĐỒ'!$V$18:$AA$18</c:f>
              <c:numCache>
                <c:formatCode>_(* #,##0_);_(* \(#,##0\);_(* "-"??_);_(@_)</c:formatCode>
                <c:ptCount val="4"/>
                <c:pt idx="0">
                  <c:v>25275.763999999999</c:v>
                </c:pt>
                <c:pt idx="1">
                  <c:v>11767.882</c:v>
                </c:pt>
                <c:pt idx="2">
                  <c:v>15186.893000000002</c:v>
                </c:pt>
                <c:pt idx="3">
                  <c:v>5053.3339999999998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C-402E-9FE7-65192FB4E6D5}"/>
            </c:ext>
          </c:extLst>
        </c:ser>
        <c:ser>
          <c:idx val="2"/>
          <c:order val="2"/>
          <c:tx>
            <c:strRef>
              <c:f>'BIỂU ĐỒ'!$T$19:$U$19</c:f>
              <c:strCache>
                <c:ptCount val="2"/>
                <c:pt idx="0">
                  <c:v> SL Lũy kế giấy mặt-TT </c:v>
                </c:pt>
                <c:pt idx="1">
                  <c:v> Tấn </c:v>
                </c:pt>
              </c:strCache>
            </c:strRef>
          </c:tx>
          <c:spPr>
            <a:solidFill>
              <a:srgbClr val="00FF99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1.6194120834244149E-3"/>
                  <c:y val="-9.2290878412925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8C-402E-9FE7-65192FB4E6D5}"/>
                </c:ext>
              </c:extLst>
            </c:dLbl>
            <c:dLbl>
              <c:idx val="6"/>
              <c:layout>
                <c:manualLayout>
                  <c:x val="3.2628847819502183E-3"/>
                  <c:y val="-6.5146579804560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8C-402E-9FE7-65192FB4E6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ĐỒ'!$V$19:$AA$19</c:f>
              <c:numCache>
                <c:formatCode>_(* #,##0_);_(* \(#,##0\);_(* "-"??_);_(@_)</c:formatCode>
                <c:ptCount val="4"/>
                <c:pt idx="0">
                  <c:v>90749.445000000007</c:v>
                </c:pt>
                <c:pt idx="1">
                  <c:v>90236.047999999981</c:v>
                </c:pt>
                <c:pt idx="2">
                  <c:v>113789.605</c:v>
                </c:pt>
                <c:pt idx="3">
                  <c:v>51853.367999999995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8C-402E-9FE7-65192FB4E6D5}"/>
            </c:ext>
          </c:extLst>
        </c:ser>
        <c:ser>
          <c:idx val="4"/>
          <c:order val="4"/>
          <c:tx>
            <c:strRef>
              <c:f>'BIỂU ĐỒ'!$T$20</c:f>
              <c:strCache>
                <c:ptCount val="1"/>
                <c:pt idx="0">
                  <c:v> SL Lũy kế Kraftlinet -TT </c:v>
                </c:pt>
              </c:strCache>
            </c:strRef>
          </c:tx>
          <c:invertIfNegative val="0"/>
          <c:val>
            <c:numRef>
              <c:f>'BIỂU ĐỒ'!$V$20:$W$20</c:f>
            </c:numRef>
          </c:val>
          <c:extLst>
            <c:ext xmlns:c16="http://schemas.microsoft.com/office/drawing/2014/chart" uri="{C3380CC4-5D6E-409C-BE32-E72D297353CC}">
              <c16:uniqueId val="{00000005-428C-402E-9FE7-65192FB4E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40058976"/>
        <c:axId val="440055712"/>
      </c:barChart>
      <c:lineChart>
        <c:grouping val="standard"/>
        <c:varyColors val="0"/>
        <c:ser>
          <c:idx val="0"/>
          <c:order val="0"/>
          <c:tx>
            <c:strRef>
              <c:f>'BIỂU ĐỒ'!$T$17</c:f>
              <c:strCache>
                <c:ptCount val="1"/>
                <c:pt idx="0">
                  <c:v> SL Lũy kế Tổng -KH </c:v>
                </c:pt>
              </c:strCache>
            </c:strRef>
          </c:tx>
          <c:spPr>
            <a:ln w="698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'BIỂU ĐỒ'!$V$17:$AA$17</c:f>
              <c:numCache>
                <c:formatCode>_(* #,##0_);_(* \(#,##0\);_(* "-"??_);_(@_)</c:formatCode>
                <c:ptCount val="4"/>
                <c:pt idx="0">
                  <c:v>127029.43207688394</c:v>
                </c:pt>
                <c:pt idx="1">
                  <c:v>127310.91890841219</c:v>
                </c:pt>
                <c:pt idx="2">
                  <c:v>159400</c:v>
                </c:pt>
                <c:pt idx="3">
                  <c:v>68335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C-402E-9FE7-65192FB4E6D5}"/>
            </c:ext>
          </c:extLst>
        </c:ser>
        <c:ser>
          <c:idx val="3"/>
          <c:order val="3"/>
          <c:tx>
            <c:strRef>
              <c:f>'BIỂU ĐỒ'!$T$21</c:f>
              <c:strCache>
                <c:ptCount val="1"/>
                <c:pt idx="0">
                  <c:v> SL Lũy kế Tổng -TT </c:v>
                </c:pt>
              </c:strCache>
            </c:strRef>
          </c:tx>
          <c:spPr>
            <a:ln w="666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'BIỂU ĐỒ'!$V$21:$AA$21</c:f>
              <c:numCache>
                <c:formatCode>_(* #,##0_);_(* \(#,##0\);_(* "-"??_);_(@_)</c:formatCode>
                <c:ptCount val="4"/>
                <c:pt idx="0">
                  <c:v>123844.25900000001</c:v>
                </c:pt>
                <c:pt idx="1">
                  <c:v>120737.95799999998</c:v>
                </c:pt>
                <c:pt idx="2">
                  <c:v>148037.459</c:v>
                </c:pt>
                <c:pt idx="3">
                  <c:v>64656.521999999997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C-402E-9FE7-65192FB4E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58976"/>
        <c:axId val="440055712"/>
      </c:lineChart>
      <c:catAx>
        <c:axId val="440058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440055712"/>
        <c:crosses val="autoZero"/>
        <c:auto val="1"/>
        <c:lblAlgn val="ctr"/>
        <c:lblOffset val="100"/>
        <c:noMultiLvlLbl val="0"/>
      </c:catAx>
      <c:valAx>
        <c:axId val="440055712"/>
        <c:scaling>
          <c:orientation val="minMax"/>
          <c:max val="150000"/>
          <c:min val="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58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1009650</xdr:colOff>
      <xdr:row>12</xdr:row>
      <xdr:rowOff>57150</xdr:rowOff>
    </xdr:from>
    <xdr:to>
      <xdr:col>39</xdr:col>
      <xdr:colOff>628650</xdr:colOff>
      <xdr:row>12</xdr:row>
      <xdr:rowOff>2476500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1014844</xdr:colOff>
      <xdr:row>8</xdr:row>
      <xdr:rowOff>266700</xdr:rowOff>
    </xdr:from>
    <xdr:to>
      <xdr:col>39</xdr:col>
      <xdr:colOff>457200</xdr:colOff>
      <xdr:row>9</xdr:row>
      <xdr:rowOff>100446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1080654</xdr:colOff>
      <xdr:row>15</xdr:row>
      <xdr:rowOff>137160</xdr:rowOff>
    </xdr:from>
    <xdr:to>
      <xdr:col>39</xdr:col>
      <xdr:colOff>419099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8</xdr:row>
      <xdr:rowOff>114300</xdr:rowOff>
    </xdr:from>
    <xdr:to>
      <xdr:col>12</xdr:col>
      <xdr:colOff>171450</xdr:colOff>
      <xdr:row>15</xdr:row>
      <xdr:rowOff>1238250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431800</xdr:colOff>
      <xdr:row>8</xdr:row>
      <xdr:rowOff>254000</xdr:rowOff>
    </xdr:from>
    <xdr:to>
      <xdr:col>12</xdr:col>
      <xdr:colOff>361950</xdr:colOff>
      <xdr:row>8</xdr:row>
      <xdr:rowOff>825500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661150" y="4292600"/>
          <a:ext cx="2216150" cy="5715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 u="sng"/>
            <a:t>VẤN</a:t>
          </a:r>
          <a:r>
            <a:rPr lang="en-US" sz="3200" b="1" u="sng" baseline="0"/>
            <a:t> ĐỀ : </a:t>
          </a:r>
          <a:r>
            <a:rPr lang="en-US" sz="3200" b="1" u="sng" baseline="0">
              <a:solidFill>
                <a:srgbClr val="FF0000"/>
              </a:solidFill>
            </a:rPr>
            <a:t>Đứt giấy </a:t>
          </a:r>
          <a:endParaRPr lang="en-US" sz="32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57150</xdr:colOff>
      <xdr:row>17</xdr:row>
      <xdr:rowOff>304800</xdr:rowOff>
    </xdr:from>
    <xdr:to>
      <xdr:col>12</xdr:col>
      <xdr:colOff>0</xdr:colOff>
      <xdr:row>39</xdr:row>
      <xdr:rowOff>323850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222250</xdr:colOff>
      <xdr:row>20</xdr:row>
      <xdr:rowOff>19050</xdr:rowOff>
    </xdr:from>
    <xdr:to>
      <xdr:col>13</xdr:col>
      <xdr:colOff>533400</xdr:colOff>
      <xdr:row>21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7219950" y="13608050"/>
          <a:ext cx="2597150" cy="5207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 u="sng"/>
            <a:t>VẤN</a:t>
          </a:r>
          <a:r>
            <a:rPr lang="en-US" sz="3200" b="1" u="sng" baseline="0"/>
            <a:t> ĐỀ : </a:t>
          </a:r>
          <a:r>
            <a:rPr lang="en-US" sz="3200" b="1" u="sng" baseline="0">
              <a:solidFill>
                <a:srgbClr val="FF0000"/>
              </a:solidFill>
            </a:rPr>
            <a:t>Dừng bất thường</a:t>
          </a:r>
          <a:endParaRPr lang="en-US" sz="32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546100</xdr:colOff>
      <xdr:row>42</xdr:row>
      <xdr:rowOff>101600</xdr:rowOff>
    </xdr:from>
    <xdr:to>
      <xdr:col>12</xdr:col>
      <xdr:colOff>0</xdr:colOff>
      <xdr:row>43</xdr:row>
      <xdr:rowOff>228600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318500" y="20332700"/>
          <a:ext cx="1701800" cy="5461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139700</xdr:colOff>
      <xdr:row>12</xdr:row>
      <xdr:rowOff>1955800</xdr:rowOff>
    </xdr:from>
    <xdr:to>
      <xdr:col>13</xdr:col>
      <xdr:colOff>482600</xdr:colOff>
      <xdr:row>14</xdr:row>
      <xdr:rowOff>165100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6369050" y="8794750"/>
          <a:ext cx="3390900" cy="11049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 u="sng"/>
            <a:t>CHƯA</a:t>
          </a:r>
          <a:r>
            <a:rPr lang="en-US" sz="3200" b="1" u="sng" baseline="0"/>
            <a:t> LÀM ĐƯỢC: </a:t>
          </a:r>
        </a:p>
      </xdr:txBody>
    </xdr:sp>
    <xdr:clientData/>
  </xdr:twoCellAnchor>
  <xdr:twoCellAnchor>
    <xdr:from>
      <xdr:col>11</xdr:col>
      <xdr:colOff>19050</xdr:colOff>
      <xdr:row>9</xdr:row>
      <xdr:rowOff>50800</xdr:rowOff>
    </xdr:from>
    <xdr:to>
      <xdr:col>13</xdr:col>
      <xdr:colOff>641350</xdr:colOff>
      <xdr:row>10</xdr:row>
      <xdr:rowOff>438150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52400" y="5937250"/>
          <a:ext cx="2146300" cy="9588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 u="sng" baseline="0"/>
            <a:t>ĐÃ LÀM ĐƯỢC:</a:t>
          </a:r>
        </a:p>
        <a:p>
          <a:r>
            <a:rPr lang="en-US" sz="3200" b="1" u="sng" baseline="0"/>
            <a:t>)</a:t>
          </a:r>
          <a:endParaRPr lang="en-US" sz="3200" b="1" u="sng"/>
        </a:p>
      </xdr:txBody>
    </xdr:sp>
    <xdr:clientData/>
  </xdr:twoCellAnchor>
  <xdr:twoCellAnchor>
    <xdr:from>
      <xdr:col>9</xdr:col>
      <xdr:colOff>520700</xdr:colOff>
      <xdr:row>32</xdr:row>
      <xdr:rowOff>127000</xdr:rowOff>
    </xdr:from>
    <xdr:to>
      <xdr:col>14</xdr:col>
      <xdr:colOff>50800</xdr:colOff>
      <xdr:row>33</xdr:row>
      <xdr:rowOff>292100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6750050" y="17748250"/>
          <a:ext cx="3340100" cy="5842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 u="sng"/>
            <a:t>CHƯA</a:t>
          </a:r>
          <a:r>
            <a:rPr lang="en-US" sz="3200" b="1" u="sng" baseline="0"/>
            <a:t> LÀM ĐƯỢC:</a:t>
          </a:r>
        </a:p>
        <a:p>
          <a:r>
            <a:rPr lang="en-US" sz="2400" b="1" u="sng" baseline="0">
              <a:solidFill>
                <a:srgbClr val="FF0000"/>
              </a:solidFill>
            </a:rPr>
            <a:t>Phát sinh sự cố thiết bị gây dừng máy bất thường</a:t>
          </a:r>
          <a:endParaRPr lang="en-US" sz="24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571500</xdr:colOff>
      <xdr:row>23</xdr:row>
      <xdr:rowOff>368300</xdr:rowOff>
    </xdr:from>
    <xdr:to>
      <xdr:col>13</xdr:col>
      <xdr:colOff>673100</xdr:colOff>
      <xdr:row>28</xdr:row>
      <xdr:rowOff>279400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6807200" y="15176500"/>
          <a:ext cx="3149600" cy="11303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 u="sng" baseline="0"/>
            <a:t>ĐÃ LÀM ĐƯỢC:</a:t>
          </a:r>
        </a:p>
        <a:p>
          <a:r>
            <a:rPr lang="en-US" sz="2400" b="1" u="sng" baseline="0">
              <a:solidFill>
                <a:srgbClr val="FF0000"/>
              </a:solidFill>
            </a:rPr>
            <a:t>Xây dựng kế hoạch dừng bảo dưỡng định kỳ  theo kế hoạch  tuần, tháng</a:t>
          </a:r>
          <a:endParaRPr lang="en-US" sz="24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266700</xdr:colOff>
      <xdr:row>15</xdr:row>
      <xdr:rowOff>1257300</xdr:rowOff>
    </xdr:from>
    <xdr:to>
      <xdr:col>13</xdr:col>
      <xdr:colOff>514350</xdr:colOff>
      <xdr:row>15</xdr:row>
      <xdr:rowOff>2076450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00050" y="11449050"/>
          <a:ext cx="9391650" cy="819150"/>
        </a:xfrm>
        <a:prstGeom prst="roundRect">
          <a:avLst>
            <a:gd name="adj" fmla="val 1942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FF0000"/>
              </a:solidFill>
            </a:rPr>
            <a:t>Ghi chú</a:t>
          </a:r>
          <a:r>
            <a:rPr lang="en-US" sz="2000" baseline="0">
              <a:solidFill>
                <a:srgbClr val="FF0000"/>
              </a:solidFill>
            </a:rPr>
            <a:t> :</a:t>
          </a:r>
          <a:r>
            <a:rPr lang="en-US" sz="2000">
              <a:solidFill>
                <a:srgbClr val="FF0000"/>
              </a:solidFill>
            </a:rPr>
            <a:t>Biểu</a:t>
          </a:r>
          <a:r>
            <a:rPr lang="en-US" sz="2000" baseline="0">
              <a:solidFill>
                <a:srgbClr val="FF0000"/>
              </a:solidFill>
            </a:rPr>
            <a:t> đồ tổng hợp này có thể thay đổi  từng giai đoạn để chỉ ra trọng điểm cần làm / hoăc tình hình đã làm đc sau khi thưc hiên đối sách để tiêp tục có đối sách</a:t>
          </a:r>
          <a:endParaRPr 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457200</xdr:colOff>
      <xdr:row>39</xdr:row>
      <xdr:rowOff>266700</xdr:rowOff>
    </xdr:from>
    <xdr:to>
      <xdr:col>13</xdr:col>
      <xdr:colOff>152400</xdr:colOff>
      <xdr:row>41</xdr:row>
      <xdr:rowOff>209550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90550" y="19659600"/>
          <a:ext cx="9601200" cy="781050"/>
        </a:xfrm>
        <a:prstGeom prst="roundRect">
          <a:avLst>
            <a:gd name="adj" fmla="val 1942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rgbClr val="FF0000"/>
              </a:solidFill>
            </a:rPr>
            <a:t>Ghi chú</a:t>
          </a:r>
          <a:r>
            <a:rPr lang="en-US" sz="2000" baseline="0">
              <a:solidFill>
                <a:srgbClr val="FF0000"/>
              </a:solidFill>
            </a:rPr>
            <a:t> :</a:t>
          </a:r>
          <a:r>
            <a:rPr lang="en-US" sz="2000">
              <a:solidFill>
                <a:srgbClr val="FF0000"/>
              </a:solidFill>
            </a:rPr>
            <a:t>Biểu</a:t>
          </a:r>
          <a:r>
            <a:rPr lang="en-US" sz="2000" baseline="0">
              <a:solidFill>
                <a:srgbClr val="FF0000"/>
              </a:solidFill>
            </a:rPr>
            <a:t> đồ tổng hợp này có thể thay đổi  từng giai đoạn để chỉ ra trọng điểm cần làm / hoăc tình hình đã làm đc sau khi thưc hiên đối sách để tiêp tục có đối sách</a:t>
          </a:r>
          <a:endParaRPr lang="en-US" sz="2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20</xdr:col>
      <xdr:colOff>76200</xdr:colOff>
      <xdr:row>0</xdr:row>
      <xdr:rowOff>0</xdr:rowOff>
    </xdr:from>
    <xdr:to>
      <xdr:col>24</xdr:col>
      <xdr:colOff>1181100</xdr:colOff>
      <xdr:row>2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164" t="17461" r="5815" b="25489"/>
        <a:stretch/>
      </xdr:blipFill>
      <xdr:spPr>
        <a:xfrm>
          <a:off x="15906750" y="0"/>
          <a:ext cx="3105150" cy="1066800"/>
        </a:xfrm>
        <a:prstGeom prst="rect">
          <a:avLst/>
        </a:prstGeom>
      </xdr:spPr>
    </xdr:pic>
    <xdr:clientData/>
  </xdr:twoCellAnchor>
  <xdr:twoCellAnchor>
    <xdr:from>
      <xdr:col>39</xdr:col>
      <xdr:colOff>438150</xdr:colOff>
      <xdr:row>8</xdr:row>
      <xdr:rowOff>114300</xdr:rowOff>
    </xdr:from>
    <xdr:to>
      <xdr:col>72</xdr:col>
      <xdr:colOff>3067050</xdr:colOff>
      <xdr:row>8</xdr:row>
      <xdr:rowOff>2571750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285750</xdr:colOff>
      <xdr:row>15</xdr:row>
      <xdr:rowOff>95250</xdr:rowOff>
    </xdr:from>
    <xdr:to>
      <xdr:col>73</xdr:col>
      <xdr:colOff>457200</xdr:colOff>
      <xdr:row>16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488373</xdr:colOff>
      <xdr:row>12</xdr:row>
      <xdr:rowOff>152400</xdr:rowOff>
    </xdr:from>
    <xdr:to>
      <xdr:col>73</xdr:col>
      <xdr:colOff>50223</xdr:colOff>
      <xdr:row>13</xdr:row>
      <xdr:rowOff>19051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95250</xdr:colOff>
      <xdr:row>12</xdr:row>
      <xdr:rowOff>1866900</xdr:rowOff>
    </xdr:from>
    <xdr:to>
      <xdr:col>20</xdr:col>
      <xdr:colOff>731520</xdr:colOff>
      <xdr:row>13</xdr:row>
      <xdr:rowOff>95250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2287250" y="7943850"/>
          <a:ext cx="4274820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Cách đánh giá :  </a:t>
          </a:r>
        </a:p>
        <a:p>
          <a:r>
            <a:rPr lang="en-US" sz="1400"/>
            <a:t>Nếu ≥95% đánh giá: O </a:t>
          </a:r>
        </a:p>
        <a:p>
          <a:r>
            <a:rPr lang="en-US" sz="1400"/>
            <a:t>Nếu ≥85%, &lt;95% đánh giá: </a:t>
          </a:r>
          <a:r>
            <a:rPr lang="el-GR" sz="1400"/>
            <a:t>Δ   </a:t>
          </a:r>
          <a:r>
            <a:rPr lang="en-US" sz="1400"/>
            <a:t>Nếu &lt;85% đánh giá: X</a:t>
          </a:r>
        </a:p>
      </xdr:txBody>
    </xdr:sp>
    <xdr:clientData/>
  </xdr:twoCellAnchor>
  <xdr:twoCellAnchor>
    <xdr:from>
      <xdr:col>22</xdr:col>
      <xdr:colOff>247649</xdr:colOff>
      <xdr:row>12</xdr:row>
      <xdr:rowOff>856280</xdr:rowOff>
    </xdr:from>
    <xdr:to>
      <xdr:col>22</xdr:col>
      <xdr:colOff>742952</xdr:colOff>
      <xdr:row>12</xdr:row>
      <xdr:rowOff>1923081</xdr:rowOff>
    </xdr:to>
    <xdr:sp macro="" textlink="$W$36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 rot="16200000">
          <a:off x="17526000" y="8495329"/>
          <a:ext cx="1066801" cy="4953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67557D-759E-4EC5-8253-71F24D729F38}" type="TxLink">
            <a:rPr lang="en-US" sz="2000" b="1" i="0" u="none" strike="noStrike">
              <a:solidFill>
                <a:schemeClr val="tx1"/>
              </a:solidFill>
              <a:latin typeface="Times New Roman"/>
              <a:cs typeface="Times New Roman"/>
            </a:rPr>
            <a:pPr algn="l"/>
            <a:t> 118.965 </a:t>
          </a:fld>
          <a:endParaRPr lang="en-GB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0</xdr:colOff>
      <xdr:row>8</xdr:row>
      <xdr:rowOff>0</xdr:rowOff>
    </xdr:from>
    <xdr:to>
      <xdr:col>26</xdr:col>
      <xdr:colOff>1219200</xdr:colOff>
      <xdr:row>9</xdr:row>
      <xdr:rowOff>19050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723900</xdr:colOff>
      <xdr:row>12</xdr:row>
      <xdr:rowOff>0</xdr:rowOff>
    </xdr:from>
    <xdr:to>
      <xdr:col>27</xdr:col>
      <xdr:colOff>19050</xdr:colOff>
      <xdr:row>12</xdr:row>
      <xdr:rowOff>2499360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914400</xdr:colOff>
      <xdr:row>15</xdr:row>
      <xdr:rowOff>95250</xdr:rowOff>
    </xdr:from>
    <xdr:to>
      <xdr:col>27</xdr:col>
      <xdr:colOff>0</xdr:colOff>
      <xdr:row>15</xdr:row>
      <xdr:rowOff>2442210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Zalo%20Received%20Files\02.%20B&#225;o%20c&#225;o%20CL%20th&#224;nh%20ph&#7849;m%20MZNS%20-%20Th&#225;ng%20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&#259;m%202025/Th&#225;ng%208/(D).T&#7893;ng%20h&#7907;p%20t&#7927;%20l&#7879;%20&#273;&#7841;t%20k&#7871;%20ho&#7841;ch%20c&#7911;a%20PM3Line%20(T8.2025).xlsx" TargetMode="External"/><Relationship Id="rId1" Type="http://schemas.openxmlformats.org/officeDocument/2006/relationships/externalLinkPath" Target="/My%20Drive/01.KH&#7888;I%20S&#7842;N%20XU&#7844;T%20MZNS/1.Ms%20Tuy&#7871;t/1.B&#225;o%20c&#225;o%20D;Q%20h&#224;ng%20ng&#224;y/N&#259;m%202025/Th&#225;ng%208/(D).T&#7893;ng%20h&#7907;p%20t&#7927;%20l&#7879;%20&#273;&#7841;t%20k&#7871;%20ho&#7841;ch%20c&#7911;a%20PM3Line%20(T8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ST"/>
      <sheetName val="TQ"/>
      <sheetName val="Tem MIZA"/>
      <sheetName val="    Chi tiết SL  "/>
      <sheetName val="Tem A4 (2)"/>
      <sheetName val="Biểu đồ SL( New)"/>
      <sheetName val="Pivot"/>
      <sheetName val="Mục tiêu SL DC2"/>
      <sheetName val="BC SP Lỗi"/>
      <sheetName val="Nhập kho TP"/>
      <sheetName val="Sheet1"/>
      <sheetName val="Sheet3"/>
      <sheetName val="KHSLSX"/>
      <sheetName val="BC_KCS"/>
      <sheetName val="Chart1"/>
      <sheetName val="Sheet5"/>
      <sheetName val="Sheet4"/>
    </sheetNames>
    <sheetDataSet>
      <sheetData sheetId="0" refreshError="1"/>
      <sheetData sheetId="1" refreshError="1"/>
      <sheetData sheetId="2" refreshError="1"/>
      <sheetData sheetId="3">
        <row r="7">
          <cell r="C7">
            <v>2</v>
          </cell>
        </row>
        <row r="8">
          <cell r="C8">
            <v>44408</v>
          </cell>
          <cell r="N8">
            <v>480</v>
          </cell>
          <cell r="O8">
            <v>115</v>
          </cell>
          <cell r="AP8">
            <v>1388</v>
          </cell>
        </row>
        <row r="9">
          <cell r="C9">
            <v>44408</v>
          </cell>
          <cell r="N9">
            <v>480</v>
          </cell>
          <cell r="O9">
            <v>115</v>
          </cell>
          <cell r="AP9">
            <v>1074</v>
          </cell>
        </row>
        <row r="10">
          <cell r="C10">
            <v>44408</v>
          </cell>
          <cell r="N10">
            <v>480</v>
          </cell>
          <cell r="O10">
            <v>115</v>
          </cell>
          <cell r="AP10">
            <v>1341</v>
          </cell>
        </row>
        <row r="11">
          <cell r="C11">
            <v>44408</v>
          </cell>
          <cell r="N11">
            <v>480</v>
          </cell>
          <cell r="O11">
            <v>115</v>
          </cell>
          <cell r="AP11">
            <v>1411</v>
          </cell>
        </row>
        <row r="12">
          <cell r="C12">
            <v>44408</v>
          </cell>
          <cell r="N12">
            <v>480</v>
          </cell>
          <cell r="O12">
            <v>115</v>
          </cell>
          <cell r="AP12">
            <v>1093</v>
          </cell>
        </row>
        <row r="13">
          <cell r="C13">
            <v>44408</v>
          </cell>
          <cell r="N13">
            <v>480</v>
          </cell>
          <cell r="O13">
            <v>115</v>
          </cell>
          <cell r="AP13">
            <v>1364</v>
          </cell>
        </row>
        <row r="14">
          <cell r="C14">
            <v>44408</v>
          </cell>
          <cell r="N14">
            <v>480</v>
          </cell>
          <cell r="O14">
            <v>115</v>
          </cell>
          <cell r="AP14">
            <v>1434</v>
          </cell>
        </row>
        <row r="15">
          <cell r="C15">
            <v>44408</v>
          </cell>
          <cell r="N15">
            <v>480</v>
          </cell>
          <cell r="O15">
            <v>115</v>
          </cell>
          <cell r="AP15">
            <v>1122</v>
          </cell>
        </row>
        <row r="16">
          <cell r="C16">
            <v>44408</v>
          </cell>
          <cell r="N16">
            <v>480</v>
          </cell>
          <cell r="O16">
            <v>115</v>
          </cell>
          <cell r="AP16">
            <v>1396</v>
          </cell>
        </row>
        <row r="17">
          <cell r="C17">
            <v>44408</v>
          </cell>
          <cell r="N17">
            <v>480</v>
          </cell>
          <cell r="O17">
            <v>115</v>
          </cell>
          <cell r="AP17">
            <v>1471</v>
          </cell>
        </row>
        <row r="18">
          <cell r="C18">
            <v>44408</v>
          </cell>
          <cell r="N18">
            <v>480</v>
          </cell>
          <cell r="O18">
            <v>115</v>
          </cell>
          <cell r="AP18">
            <v>1158</v>
          </cell>
        </row>
        <row r="19">
          <cell r="C19">
            <v>44408</v>
          </cell>
          <cell r="N19">
            <v>480</v>
          </cell>
          <cell r="O19">
            <v>115</v>
          </cell>
          <cell r="AP19">
            <v>1436</v>
          </cell>
        </row>
        <row r="20">
          <cell r="C20">
            <v>44408</v>
          </cell>
          <cell r="N20">
            <v>480</v>
          </cell>
          <cell r="O20">
            <v>115</v>
          </cell>
          <cell r="AP20">
            <v>1449</v>
          </cell>
        </row>
        <row r="21">
          <cell r="C21">
            <v>44408</v>
          </cell>
          <cell r="N21">
            <v>480</v>
          </cell>
          <cell r="O21">
            <v>115</v>
          </cell>
          <cell r="AP21">
            <v>1124</v>
          </cell>
        </row>
        <row r="22">
          <cell r="C22">
            <v>44408</v>
          </cell>
          <cell r="N22">
            <v>480</v>
          </cell>
          <cell r="O22">
            <v>115</v>
          </cell>
          <cell r="AP22">
            <v>1400</v>
          </cell>
        </row>
        <row r="23">
          <cell r="C23">
            <v>44408</v>
          </cell>
          <cell r="N23">
            <v>480</v>
          </cell>
          <cell r="O23">
            <v>115</v>
          </cell>
          <cell r="AP23">
            <v>1503</v>
          </cell>
        </row>
        <row r="24">
          <cell r="C24">
            <v>44408</v>
          </cell>
          <cell r="N24">
            <v>480</v>
          </cell>
          <cell r="O24">
            <v>115</v>
          </cell>
          <cell r="AP24">
            <v>1181</v>
          </cell>
        </row>
        <row r="25">
          <cell r="C25">
            <v>44408</v>
          </cell>
          <cell r="N25">
            <v>480</v>
          </cell>
          <cell r="O25">
            <v>115</v>
          </cell>
          <cell r="AP25">
            <v>1467</v>
          </cell>
        </row>
        <row r="26">
          <cell r="C26">
            <v>44408</v>
          </cell>
          <cell r="N26">
            <v>485</v>
          </cell>
          <cell r="O26">
            <v>115</v>
          </cell>
          <cell r="AP26">
            <v>1511</v>
          </cell>
        </row>
        <row r="27">
          <cell r="C27">
            <v>44408</v>
          </cell>
          <cell r="N27">
            <v>485</v>
          </cell>
          <cell r="O27">
            <v>115</v>
          </cell>
          <cell r="AP27">
            <v>1132</v>
          </cell>
        </row>
        <row r="28">
          <cell r="C28">
            <v>44408</v>
          </cell>
          <cell r="N28">
            <v>485</v>
          </cell>
          <cell r="O28">
            <v>115</v>
          </cell>
          <cell r="AP28">
            <v>1549</v>
          </cell>
        </row>
        <row r="29">
          <cell r="C29">
            <v>44408</v>
          </cell>
          <cell r="N29">
            <v>485</v>
          </cell>
          <cell r="O29">
            <v>115</v>
          </cell>
          <cell r="AP29">
            <v>1534</v>
          </cell>
        </row>
        <row r="30">
          <cell r="C30">
            <v>44408</v>
          </cell>
          <cell r="N30">
            <v>485</v>
          </cell>
          <cell r="O30">
            <v>115</v>
          </cell>
          <cell r="AP30">
            <v>1147</v>
          </cell>
        </row>
        <row r="31">
          <cell r="C31">
            <v>44408</v>
          </cell>
          <cell r="N31">
            <v>485</v>
          </cell>
          <cell r="O31">
            <v>115</v>
          </cell>
          <cell r="AP31">
            <v>1571</v>
          </cell>
        </row>
        <row r="32">
          <cell r="C32">
            <v>44409</v>
          </cell>
          <cell r="N32">
            <v>485</v>
          </cell>
          <cell r="O32">
            <v>100</v>
          </cell>
          <cell r="AP32">
            <v>1058</v>
          </cell>
        </row>
        <row r="33">
          <cell r="C33">
            <v>44409</v>
          </cell>
          <cell r="N33">
            <v>485</v>
          </cell>
          <cell r="O33">
            <v>100</v>
          </cell>
          <cell r="AP33">
            <v>1064</v>
          </cell>
        </row>
        <row r="34">
          <cell r="C34">
            <v>44409</v>
          </cell>
          <cell r="N34">
            <v>485</v>
          </cell>
          <cell r="O34">
            <v>100</v>
          </cell>
          <cell r="AP34">
            <v>778</v>
          </cell>
        </row>
        <row r="35">
          <cell r="C35">
            <v>44409</v>
          </cell>
          <cell r="N35">
            <v>485</v>
          </cell>
          <cell r="O35">
            <v>100</v>
          </cell>
          <cell r="AP35">
            <v>1050</v>
          </cell>
        </row>
        <row r="36">
          <cell r="C36">
            <v>44409</v>
          </cell>
          <cell r="N36">
            <v>485</v>
          </cell>
          <cell r="O36">
            <v>100</v>
          </cell>
          <cell r="AP36">
            <v>1394</v>
          </cell>
        </row>
        <row r="37">
          <cell r="C37">
            <v>44409</v>
          </cell>
          <cell r="N37">
            <v>485</v>
          </cell>
          <cell r="O37">
            <v>100</v>
          </cell>
          <cell r="AP37">
            <v>1134</v>
          </cell>
        </row>
        <row r="38">
          <cell r="C38">
            <v>44409</v>
          </cell>
          <cell r="N38">
            <v>485</v>
          </cell>
          <cell r="O38">
            <v>100</v>
          </cell>
          <cell r="AP38">
            <v>1383</v>
          </cell>
        </row>
        <row r="39">
          <cell r="C39">
            <v>44409</v>
          </cell>
          <cell r="N39">
            <v>485</v>
          </cell>
          <cell r="O39">
            <v>100</v>
          </cell>
          <cell r="AP39">
            <v>1383</v>
          </cell>
        </row>
        <row r="40">
          <cell r="C40">
            <v>44409</v>
          </cell>
          <cell r="N40">
            <v>485</v>
          </cell>
          <cell r="O40">
            <v>100</v>
          </cell>
          <cell r="AP40">
            <v>1185</v>
          </cell>
        </row>
        <row r="41">
          <cell r="C41">
            <v>44409</v>
          </cell>
          <cell r="N41">
            <v>485</v>
          </cell>
          <cell r="O41">
            <v>100</v>
          </cell>
          <cell r="AP41">
            <v>1374</v>
          </cell>
        </row>
        <row r="42">
          <cell r="C42">
            <v>44409</v>
          </cell>
          <cell r="N42">
            <v>484</v>
          </cell>
          <cell r="O42">
            <v>100</v>
          </cell>
          <cell r="AP42">
            <v>1286</v>
          </cell>
        </row>
        <row r="43">
          <cell r="C43">
            <v>44409</v>
          </cell>
          <cell r="N43">
            <v>484</v>
          </cell>
          <cell r="O43">
            <v>100</v>
          </cell>
          <cell r="AP43">
            <v>725</v>
          </cell>
        </row>
        <row r="44">
          <cell r="C44">
            <v>44409</v>
          </cell>
          <cell r="N44">
            <v>484</v>
          </cell>
          <cell r="O44">
            <v>100</v>
          </cell>
          <cell r="AP44">
            <v>725</v>
          </cell>
        </row>
        <row r="45">
          <cell r="C45">
            <v>44409</v>
          </cell>
          <cell r="N45">
            <v>484</v>
          </cell>
          <cell r="O45">
            <v>100</v>
          </cell>
          <cell r="AP45">
            <v>1275</v>
          </cell>
        </row>
        <row r="46">
          <cell r="C46">
            <v>44409</v>
          </cell>
          <cell r="N46">
            <v>484</v>
          </cell>
          <cell r="O46">
            <v>100</v>
          </cell>
          <cell r="AP46">
            <v>1266</v>
          </cell>
        </row>
        <row r="47">
          <cell r="C47">
            <v>44409</v>
          </cell>
          <cell r="N47">
            <v>484</v>
          </cell>
          <cell r="O47">
            <v>100</v>
          </cell>
          <cell r="AP47">
            <v>715</v>
          </cell>
        </row>
        <row r="48">
          <cell r="C48">
            <v>44409</v>
          </cell>
          <cell r="N48">
            <v>484</v>
          </cell>
          <cell r="O48">
            <v>100</v>
          </cell>
          <cell r="AP48">
            <v>714</v>
          </cell>
        </row>
        <row r="49">
          <cell r="C49">
            <v>44409</v>
          </cell>
          <cell r="N49">
            <v>484</v>
          </cell>
          <cell r="O49">
            <v>100</v>
          </cell>
          <cell r="AP49">
            <v>1256</v>
          </cell>
        </row>
        <row r="50">
          <cell r="C50">
            <v>44409</v>
          </cell>
          <cell r="N50">
            <v>475</v>
          </cell>
          <cell r="O50">
            <v>100</v>
          </cell>
          <cell r="AP50">
            <v>1053</v>
          </cell>
        </row>
        <row r="51">
          <cell r="C51">
            <v>44409</v>
          </cell>
          <cell r="N51">
            <v>475</v>
          </cell>
          <cell r="O51">
            <v>100</v>
          </cell>
          <cell r="AP51">
            <v>937</v>
          </cell>
        </row>
        <row r="52">
          <cell r="C52">
            <v>44409</v>
          </cell>
          <cell r="N52">
            <v>475</v>
          </cell>
          <cell r="O52">
            <v>100</v>
          </cell>
          <cell r="AP52">
            <v>893</v>
          </cell>
        </row>
        <row r="53">
          <cell r="C53">
            <v>44409</v>
          </cell>
          <cell r="N53">
            <v>475</v>
          </cell>
          <cell r="O53">
            <v>100</v>
          </cell>
          <cell r="AP53">
            <v>963</v>
          </cell>
        </row>
        <row r="54">
          <cell r="C54">
            <v>44409</v>
          </cell>
          <cell r="N54">
            <v>475</v>
          </cell>
          <cell r="O54">
            <v>100</v>
          </cell>
          <cell r="AP54">
            <v>1029</v>
          </cell>
        </row>
        <row r="55">
          <cell r="C55">
            <v>44409</v>
          </cell>
          <cell r="N55">
            <v>475</v>
          </cell>
          <cell r="O55">
            <v>100</v>
          </cell>
          <cell r="AP55">
            <v>917</v>
          </cell>
        </row>
        <row r="56">
          <cell r="C56">
            <v>44409</v>
          </cell>
          <cell r="N56">
            <v>475</v>
          </cell>
          <cell r="O56">
            <v>100</v>
          </cell>
          <cell r="AP56">
            <v>877</v>
          </cell>
        </row>
        <row r="57">
          <cell r="C57">
            <v>44409</v>
          </cell>
          <cell r="N57">
            <v>475</v>
          </cell>
          <cell r="O57">
            <v>100</v>
          </cell>
          <cell r="AP57">
            <v>942</v>
          </cell>
        </row>
        <row r="58">
          <cell r="C58">
            <v>44409</v>
          </cell>
          <cell r="N58">
            <v>475</v>
          </cell>
          <cell r="O58">
            <v>100</v>
          </cell>
          <cell r="AP58">
            <v>1401</v>
          </cell>
        </row>
        <row r="59">
          <cell r="C59">
            <v>44409</v>
          </cell>
          <cell r="N59">
            <v>475</v>
          </cell>
          <cell r="O59">
            <v>100</v>
          </cell>
          <cell r="AP59">
            <v>807</v>
          </cell>
        </row>
        <row r="60">
          <cell r="C60">
            <v>44409</v>
          </cell>
          <cell r="N60">
            <v>475</v>
          </cell>
          <cell r="O60">
            <v>100</v>
          </cell>
          <cell r="AP60">
            <v>793</v>
          </cell>
        </row>
        <row r="61">
          <cell r="C61">
            <v>44409</v>
          </cell>
          <cell r="N61">
            <v>475</v>
          </cell>
          <cell r="O61">
            <v>100</v>
          </cell>
          <cell r="AP61">
            <v>806</v>
          </cell>
        </row>
        <row r="62">
          <cell r="C62">
            <v>44409</v>
          </cell>
          <cell r="N62">
            <v>475</v>
          </cell>
          <cell r="O62">
            <v>100</v>
          </cell>
          <cell r="AP62">
            <v>1407</v>
          </cell>
        </row>
        <row r="63">
          <cell r="C63">
            <v>44409</v>
          </cell>
          <cell r="N63">
            <v>475</v>
          </cell>
          <cell r="O63">
            <v>100</v>
          </cell>
          <cell r="AP63">
            <v>808</v>
          </cell>
        </row>
        <row r="64">
          <cell r="C64">
            <v>44409</v>
          </cell>
          <cell r="N64">
            <v>475</v>
          </cell>
          <cell r="O64">
            <v>100</v>
          </cell>
          <cell r="AP64">
            <v>810</v>
          </cell>
        </row>
        <row r="65">
          <cell r="C65">
            <v>44409</v>
          </cell>
          <cell r="N65">
            <v>475</v>
          </cell>
          <cell r="O65">
            <v>100</v>
          </cell>
          <cell r="AP65">
            <v>796</v>
          </cell>
        </row>
        <row r="66">
          <cell r="C66">
            <v>44409</v>
          </cell>
          <cell r="N66">
            <v>480</v>
          </cell>
          <cell r="O66">
            <v>100</v>
          </cell>
          <cell r="AP66">
            <v>1128</v>
          </cell>
        </row>
        <row r="67">
          <cell r="C67">
            <v>44409</v>
          </cell>
          <cell r="N67">
            <v>480</v>
          </cell>
          <cell r="O67">
            <v>100</v>
          </cell>
          <cell r="AP67">
            <v>885</v>
          </cell>
        </row>
        <row r="68">
          <cell r="C68">
            <v>44409</v>
          </cell>
          <cell r="N68">
            <v>480</v>
          </cell>
          <cell r="O68">
            <v>100</v>
          </cell>
          <cell r="AP68">
            <v>883</v>
          </cell>
        </row>
        <row r="69">
          <cell r="C69">
            <v>44409</v>
          </cell>
          <cell r="N69">
            <v>480</v>
          </cell>
          <cell r="O69">
            <v>100</v>
          </cell>
          <cell r="AP69">
            <v>1121</v>
          </cell>
        </row>
        <row r="70">
          <cell r="C70">
            <v>44409</v>
          </cell>
          <cell r="N70">
            <v>480</v>
          </cell>
          <cell r="O70">
            <v>100</v>
          </cell>
          <cell r="AP70">
            <v>1141</v>
          </cell>
        </row>
        <row r="71">
          <cell r="C71">
            <v>44409</v>
          </cell>
          <cell r="N71">
            <v>480</v>
          </cell>
          <cell r="O71">
            <v>100</v>
          </cell>
          <cell r="AP71">
            <v>893</v>
          </cell>
        </row>
        <row r="72">
          <cell r="C72">
            <v>44409</v>
          </cell>
          <cell r="N72">
            <v>480</v>
          </cell>
          <cell r="O72">
            <v>100</v>
          </cell>
          <cell r="AP72">
            <v>894</v>
          </cell>
        </row>
        <row r="73">
          <cell r="C73">
            <v>44409</v>
          </cell>
          <cell r="N73">
            <v>480</v>
          </cell>
          <cell r="O73">
            <v>100</v>
          </cell>
          <cell r="AP73">
            <v>1132</v>
          </cell>
        </row>
        <row r="74">
          <cell r="C74">
            <v>44409</v>
          </cell>
          <cell r="N74">
            <v>485</v>
          </cell>
          <cell r="O74">
            <v>115</v>
          </cell>
          <cell r="AP74">
            <v>1448</v>
          </cell>
        </row>
        <row r="75">
          <cell r="C75">
            <v>44409</v>
          </cell>
          <cell r="N75">
            <v>485</v>
          </cell>
          <cell r="O75">
            <v>115</v>
          </cell>
          <cell r="AP75">
            <v>1082</v>
          </cell>
        </row>
        <row r="76">
          <cell r="C76">
            <v>44409</v>
          </cell>
          <cell r="N76">
            <v>485</v>
          </cell>
          <cell r="O76">
            <v>115</v>
          </cell>
          <cell r="AP76">
            <v>1481</v>
          </cell>
        </row>
        <row r="77">
          <cell r="C77">
            <v>44409</v>
          </cell>
          <cell r="N77">
            <v>485</v>
          </cell>
          <cell r="O77">
            <v>115</v>
          </cell>
          <cell r="AP77">
            <v>1436</v>
          </cell>
        </row>
        <row r="78">
          <cell r="C78">
            <v>44409</v>
          </cell>
          <cell r="N78">
            <v>485</v>
          </cell>
          <cell r="O78">
            <v>115</v>
          </cell>
          <cell r="AP78">
            <v>1198</v>
          </cell>
        </row>
        <row r="79">
          <cell r="C79">
            <v>44409</v>
          </cell>
          <cell r="N79">
            <v>485</v>
          </cell>
          <cell r="O79">
            <v>115</v>
          </cell>
          <cell r="AP79">
            <v>1344</v>
          </cell>
        </row>
        <row r="80">
          <cell r="C80">
            <v>44409</v>
          </cell>
          <cell r="N80">
            <v>485</v>
          </cell>
          <cell r="O80">
            <v>115</v>
          </cell>
          <cell r="AP80">
            <v>1461</v>
          </cell>
        </row>
        <row r="81">
          <cell r="C81">
            <v>44409</v>
          </cell>
          <cell r="N81">
            <v>485</v>
          </cell>
          <cell r="O81">
            <v>115</v>
          </cell>
          <cell r="AP81">
            <v>1219</v>
          </cell>
        </row>
        <row r="82">
          <cell r="C82">
            <v>44409</v>
          </cell>
          <cell r="N82">
            <v>485</v>
          </cell>
          <cell r="O82">
            <v>115</v>
          </cell>
          <cell r="AP82">
            <v>1370</v>
          </cell>
        </row>
        <row r="83">
          <cell r="C83">
            <v>44409</v>
          </cell>
          <cell r="N83">
            <v>485</v>
          </cell>
          <cell r="O83">
            <v>115</v>
          </cell>
          <cell r="AP83">
            <v>1470</v>
          </cell>
        </row>
        <row r="84">
          <cell r="C84">
            <v>44409</v>
          </cell>
          <cell r="N84">
            <v>485</v>
          </cell>
          <cell r="O84">
            <v>115</v>
          </cell>
          <cell r="AP84">
            <v>1226</v>
          </cell>
        </row>
        <row r="85">
          <cell r="C85">
            <v>44409</v>
          </cell>
          <cell r="N85">
            <v>485</v>
          </cell>
          <cell r="O85">
            <v>115</v>
          </cell>
          <cell r="AP85">
            <v>1376</v>
          </cell>
        </row>
        <row r="86">
          <cell r="C86">
            <v>44409</v>
          </cell>
          <cell r="N86">
            <v>485</v>
          </cell>
          <cell r="O86">
            <v>115</v>
          </cell>
          <cell r="AP86">
            <v>1446</v>
          </cell>
        </row>
        <row r="87">
          <cell r="C87">
            <v>44409</v>
          </cell>
          <cell r="N87">
            <v>485</v>
          </cell>
          <cell r="O87">
            <v>115</v>
          </cell>
          <cell r="AP87">
            <v>1203</v>
          </cell>
        </row>
        <row r="88">
          <cell r="C88">
            <v>44409</v>
          </cell>
          <cell r="N88">
            <v>485</v>
          </cell>
          <cell r="O88">
            <v>115</v>
          </cell>
          <cell r="AP88">
            <v>1353</v>
          </cell>
        </row>
        <row r="89">
          <cell r="C89">
            <v>44408</v>
          </cell>
          <cell r="N89">
            <v>485</v>
          </cell>
          <cell r="O89">
            <v>115</v>
          </cell>
          <cell r="AP89">
            <v>1434</v>
          </cell>
        </row>
        <row r="90">
          <cell r="C90">
            <v>44408</v>
          </cell>
          <cell r="N90">
            <v>485</v>
          </cell>
          <cell r="O90">
            <v>115</v>
          </cell>
          <cell r="AP90">
            <v>1194</v>
          </cell>
        </row>
        <row r="91">
          <cell r="C91">
            <v>44408</v>
          </cell>
          <cell r="N91">
            <v>485</v>
          </cell>
          <cell r="O91">
            <v>115</v>
          </cell>
          <cell r="AP91">
            <v>1341</v>
          </cell>
        </row>
        <row r="92">
          <cell r="C92">
            <v>44408</v>
          </cell>
          <cell r="N92">
            <v>485</v>
          </cell>
          <cell r="O92">
            <v>115</v>
          </cell>
          <cell r="AP92">
            <v>1453</v>
          </cell>
        </row>
        <row r="93">
          <cell r="C93">
            <v>44408</v>
          </cell>
          <cell r="N93">
            <v>485</v>
          </cell>
          <cell r="O93">
            <v>115</v>
          </cell>
          <cell r="AP93">
            <v>1208</v>
          </cell>
        </row>
        <row r="94">
          <cell r="C94">
            <v>44408</v>
          </cell>
          <cell r="N94">
            <v>485</v>
          </cell>
          <cell r="O94">
            <v>115</v>
          </cell>
          <cell r="AP94">
            <v>1358</v>
          </cell>
        </row>
        <row r="95">
          <cell r="C95">
            <v>44408</v>
          </cell>
          <cell r="N95">
            <v>485</v>
          </cell>
          <cell r="O95">
            <v>115</v>
          </cell>
          <cell r="AP95">
            <v>1483</v>
          </cell>
        </row>
        <row r="96">
          <cell r="C96">
            <v>44408</v>
          </cell>
          <cell r="N96">
            <v>485</v>
          </cell>
          <cell r="O96">
            <v>115</v>
          </cell>
          <cell r="AP96">
            <v>1235</v>
          </cell>
        </row>
        <row r="97">
          <cell r="C97">
            <v>44408</v>
          </cell>
          <cell r="N97">
            <v>485</v>
          </cell>
          <cell r="O97">
            <v>115</v>
          </cell>
          <cell r="AP97">
            <v>1391</v>
          </cell>
        </row>
        <row r="98">
          <cell r="C98">
            <v>44408</v>
          </cell>
          <cell r="N98">
            <v>485</v>
          </cell>
          <cell r="O98">
            <v>115</v>
          </cell>
          <cell r="AP98">
            <v>1486</v>
          </cell>
        </row>
        <row r="99">
          <cell r="C99">
            <v>44408</v>
          </cell>
          <cell r="N99">
            <v>485</v>
          </cell>
          <cell r="O99">
            <v>115</v>
          </cell>
          <cell r="AP99">
            <v>1236</v>
          </cell>
        </row>
        <row r="100">
          <cell r="C100">
            <v>44408</v>
          </cell>
          <cell r="N100">
            <v>485</v>
          </cell>
          <cell r="O100">
            <v>115</v>
          </cell>
          <cell r="AP100">
            <v>1398</v>
          </cell>
        </row>
        <row r="101">
          <cell r="C101">
            <v>44409</v>
          </cell>
          <cell r="N101">
            <v>480</v>
          </cell>
          <cell r="O101">
            <v>100</v>
          </cell>
          <cell r="AP101">
            <v>1127</v>
          </cell>
        </row>
        <row r="102">
          <cell r="C102">
            <v>44409</v>
          </cell>
          <cell r="N102">
            <v>480</v>
          </cell>
          <cell r="O102">
            <v>100</v>
          </cell>
          <cell r="AP102">
            <v>882</v>
          </cell>
        </row>
        <row r="103">
          <cell r="C103">
            <v>44409</v>
          </cell>
          <cell r="N103">
            <v>480</v>
          </cell>
          <cell r="O103">
            <v>100</v>
          </cell>
          <cell r="AP103">
            <v>883</v>
          </cell>
        </row>
        <row r="104">
          <cell r="C104">
            <v>44409</v>
          </cell>
          <cell r="N104">
            <v>480</v>
          </cell>
          <cell r="O104">
            <v>100</v>
          </cell>
          <cell r="AP104">
            <v>1123</v>
          </cell>
        </row>
        <row r="105">
          <cell r="C105">
            <v>44409</v>
          </cell>
          <cell r="N105">
            <v>480</v>
          </cell>
          <cell r="O105">
            <v>100</v>
          </cell>
          <cell r="AP105">
            <v>1068</v>
          </cell>
        </row>
        <row r="106">
          <cell r="C106">
            <v>44409</v>
          </cell>
          <cell r="N106">
            <v>480</v>
          </cell>
          <cell r="O106">
            <v>100</v>
          </cell>
          <cell r="AP106">
            <v>991</v>
          </cell>
        </row>
        <row r="107">
          <cell r="C107">
            <v>44409</v>
          </cell>
          <cell r="N107">
            <v>480</v>
          </cell>
          <cell r="O107">
            <v>100</v>
          </cell>
          <cell r="AP107">
            <v>988</v>
          </cell>
        </row>
        <row r="108">
          <cell r="C108">
            <v>44409</v>
          </cell>
          <cell r="N108">
            <v>480</v>
          </cell>
          <cell r="O108">
            <v>100</v>
          </cell>
          <cell r="AP108">
            <v>1061</v>
          </cell>
        </row>
        <row r="109">
          <cell r="C109">
            <v>44409</v>
          </cell>
          <cell r="N109">
            <v>480</v>
          </cell>
          <cell r="O109">
            <v>100</v>
          </cell>
          <cell r="AP109">
            <v>1041</v>
          </cell>
        </row>
        <row r="110">
          <cell r="C110">
            <v>44409</v>
          </cell>
          <cell r="N110">
            <v>480</v>
          </cell>
          <cell r="O110">
            <v>100</v>
          </cell>
          <cell r="AP110">
            <v>964</v>
          </cell>
        </row>
        <row r="111">
          <cell r="C111">
            <v>44409</v>
          </cell>
          <cell r="N111">
            <v>480</v>
          </cell>
          <cell r="O111">
            <v>100</v>
          </cell>
          <cell r="AP111">
            <v>963</v>
          </cell>
        </row>
        <row r="112">
          <cell r="C112">
            <v>44409</v>
          </cell>
          <cell r="N112">
            <v>480</v>
          </cell>
          <cell r="O112">
            <v>100</v>
          </cell>
          <cell r="AP112">
            <v>1036</v>
          </cell>
        </row>
        <row r="113">
          <cell r="C113">
            <v>44409</v>
          </cell>
          <cell r="N113">
            <v>480</v>
          </cell>
          <cell r="O113">
            <v>100</v>
          </cell>
          <cell r="AP113">
            <v>1391</v>
          </cell>
        </row>
        <row r="114">
          <cell r="C114">
            <v>44409</v>
          </cell>
          <cell r="N114">
            <v>480</v>
          </cell>
          <cell r="O114">
            <v>100</v>
          </cell>
          <cell r="AP114">
            <v>1396</v>
          </cell>
        </row>
        <row r="115">
          <cell r="C115">
            <v>44409</v>
          </cell>
          <cell r="N115">
            <v>480</v>
          </cell>
          <cell r="O115">
            <v>100</v>
          </cell>
          <cell r="AP115">
            <v>1382</v>
          </cell>
        </row>
        <row r="116">
          <cell r="C116">
            <v>44409</v>
          </cell>
          <cell r="N116">
            <v>480</v>
          </cell>
          <cell r="O116">
            <v>100</v>
          </cell>
          <cell r="AP116">
            <v>1044</v>
          </cell>
        </row>
        <row r="117">
          <cell r="C117">
            <v>44409</v>
          </cell>
          <cell r="N117">
            <v>480</v>
          </cell>
          <cell r="O117">
            <v>100</v>
          </cell>
          <cell r="AP117">
            <v>1045</v>
          </cell>
        </row>
        <row r="118">
          <cell r="C118">
            <v>44409</v>
          </cell>
          <cell r="N118">
            <v>480</v>
          </cell>
          <cell r="O118">
            <v>100</v>
          </cell>
          <cell r="AP118">
            <v>1027</v>
          </cell>
        </row>
        <row r="119">
          <cell r="C119">
            <v>44409</v>
          </cell>
          <cell r="N119">
            <v>480</v>
          </cell>
          <cell r="O119">
            <v>100</v>
          </cell>
          <cell r="AP119">
            <v>1042</v>
          </cell>
        </row>
        <row r="120">
          <cell r="C120">
            <v>44409</v>
          </cell>
          <cell r="N120">
            <v>480</v>
          </cell>
          <cell r="O120">
            <v>125</v>
          </cell>
          <cell r="AP120">
            <v>1192</v>
          </cell>
        </row>
        <row r="121">
          <cell r="C121">
            <v>44409</v>
          </cell>
          <cell r="N121">
            <v>480</v>
          </cell>
          <cell r="O121">
            <v>125</v>
          </cell>
          <cell r="AP121">
            <v>802</v>
          </cell>
        </row>
        <row r="122">
          <cell r="C122">
            <v>44409</v>
          </cell>
          <cell r="N122">
            <v>480</v>
          </cell>
          <cell r="O122">
            <v>125</v>
          </cell>
          <cell r="AP122">
            <v>840</v>
          </cell>
        </row>
        <row r="123">
          <cell r="C123">
            <v>44409</v>
          </cell>
          <cell r="N123">
            <v>480</v>
          </cell>
          <cell r="O123">
            <v>125</v>
          </cell>
          <cell r="AP123">
            <v>955</v>
          </cell>
        </row>
        <row r="124">
          <cell r="C124">
            <v>44409</v>
          </cell>
          <cell r="N124">
            <v>480</v>
          </cell>
          <cell r="O124">
            <v>125</v>
          </cell>
          <cell r="AP124">
            <v>1213</v>
          </cell>
        </row>
        <row r="125">
          <cell r="C125">
            <v>44409</v>
          </cell>
          <cell r="N125">
            <v>480</v>
          </cell>
          <cell r="O125">
            <v>125</v>
          </cell>
          <cell r="AP125">
            <v>815</v>
          </cell>
        </row>
        <row r="126">
          <cell r="C126">
            <v>44409</v>
          </cell>
          <cell r="N126">
            <v>480</v>
          </cell>
          <cell r="O126">
            <v>125</v>
          </cell>
          <cell r="AP126">
            <v>856</v>
          </cell>
        </row>
        <row r="127">
          <cell r="C127">
            <v>44409</v>
          </cell>
          <cell r="N127">
            <v>480</v>
          </cell>
          <cell r="O127">
            <v>125</v>
          </cell>
          <cell r="AP127">
            <v>972</v>
          </cell>
        </row>
        <row r="128">
          <cell r="C128">
            <v>44409</v>
          </cell>
          <cell r="N128">
            <v>480</v>
          </cell>
          <cell r="O128">
            <v>100</v>
          </cell>
          <cell r="AP128">
            <v>1542</v>
          </cell>
        </row>
        <row r="129">
          <cell r="C129">
            <v>44409</v>
          </cell>
          <cell r="N129">
            <v>480</v>
          </cell>
          <cell r="O129">
            <v>100</v>
          </cell>
          <cell r="AP129">
            <v>1150</v>
          </cell>
        </row>
        <row r="130">
          <cell r="C130">
            <v>44409</v>
          </cell>
          <cell r="N130">
            <v>480</v>
          </cell>
          <cell r="O130">
            <v>100</v>
          </cell>
          <cell r="AP130">
            <v>1531</v>
          </cell>
        </row>
        <row r="131">
          <cell r="C131">
            <v>44409</v>
          </cell>
          <cell r="N131">
            <v>480</v>
          </cell>
          <cell r="O131">
            <v>100</v>
          </cell>
          <cell r="AP131">
            <v>1516</v>
          </cell>
        </row>
        <row r="132">
          <cell r="C132">
            <v>44409</v>
          </cell>
          <cell r="N132">
            <v>480</v>
          </cell>
          <cell r="O132">
            <v>100</v>
          </cell>
          <cell r="AP132">
            <v>1134</v>
          </cell>
        </row>
        <row r="133">
          <cell r="C133">
            <v>44409</v>
          </cell>
          <cell r="N133">
            <v>480</v>
          </cell>
          <cell r="O133">
            <v>100</v>
          </cell>
          <cell r="AP133">
            <v>1512</v>
          </cell>
        </row>
        <row r="134">
          <cell r="C134">
            <v>44409</v>
          </cell>
          <cell r="N134">
            <v>480</v>
          </cell>
          <cell r="O134">
            <v>100</v>
          </cell>
          <cell r="AP134">
            <v>1524</v>
          </cell>
        </row>
        <row r="135">
          <cell r="C135">
            <v>44409</v>
          </cell>
          <cell r="N135">
            <v>480</v>
          </cell>
          <cell r="O135">
            <v>100</v>
          </cell>
          <cell r="AP135">
            <v>1138</v>
          </cell>
        </row>
        <row r="136">
          <cell r="C136">
            <v>44409</v>
          </cell>
          <cell r="N136">
            <v>480</v>
          </cell>
          <cell r="O136">
            <v>100</v>
          </cell>
          <cell r="AP136">
            <v>1521</v>
          </cell>
        </row>
        <row r="137">
          <cell r="C137">
            <v>44409</v>
          </cell>
          <cell r="N137">
            <v>480</v>
          </cell>
          <cell r="O137">
            <v>125</v>
          </cell>
          <cell r="AP137">
            <v>1110</v>
          </cell>
        </row>
        <row r="138">
          <cell r="C138">
            <v>44409</v>
          </cell>
          <cell r="N138">
            <v>480</v>
          </cell>
          <cell r="O138">
            <v>125</v>
          </cell>
          <cell r="AP138">
            <v>947</v>
          </cell>
        </row>
        <row r="139">
          <cell r="C139">
            <v>44409</v>
          </cell>
          <cell r="N139">
            <v>480</v>
          </cell>
          <cell r="O139">
            <v>125</v>
          </cell>
          <cell r="AP139">
            <v>947</v>
          </cell>
        </row>
        <row r="140">
          <cell r="C140">
            <v>44409</v>
          </cell>
          <cell r="N140">
            <v>480</v>
          </cell>
          <cell r="O140">
            <v>125</v>
          </cell>
          <cell r="AP140">
            <v>1108</v>
          </cell>
        </row>
        <row r="141">
          <cell r="C141">
            <v>44409</v>
          </cell>
          <cell r="N141">
            <v>480</v>
          </cell>
          <cell r="O141">
            <v>125</v>
          </cell>
          <cell r="AP141">
            <v>1128</v>
          </cell>
        </row>
        <row r="142">
          <cell r="C142">
            <v>44409</v>
          </cell>
          <cell r="N142">
            <v>480</v>
          </cell>
          <cell r="O142">
            <v>125</v>
          </cell>
          <cell r="AP142">
            <v>969</v>
          </cell>
        </row>
        <row r="143">
          <cell r="C143">
            <v>44409</v>
          </cell>
          <cell r="N143">
            <v>480</v>
          </cell>
          <cell r="O143">
            <v>125</v>
          </cell>
          <cell r="AP143">
            <v>970</v>
          </cell>
        </row>
        <row r="144">
          <cell r="C144">
            <v>44409</v>
          </cell>
          <cell r="N144">
            <v>480</v>
          </cell>
          <cell r="O144">
            <v>125</v>
          </cell>
          <cell r="AP144">
            <v>1135</v>
          </cell>
        </row>
        <row r="145">
          <cell r="C145">
            <v>44409</v>
          </cell>
          <cell r="N145">
            <v>480</v>
          </cell>
          <cell r="O145">
            <v>125</v>
          </cell>
          <cell r="AP145">
            <v>1139</v>
          </cell>
        </row>
        <row r="146">
          <cell r="C146">
            <v>44409</v>
          </cell>
          <cell r="N146">
            <v>480</v>
          </cell>
          <cell r="O146">
            <v>125</v>
          </cell>
          <cell r="AP146">
            <v>974</v>
          </cell>
        </row>
        <row r="147">
          <cell r="C147">
            <v>44409</v>
          </cell>
          <cell r="N147">
            <v>480</v>
          </cell>
          <cell r="O147">
            <v>125</v>
          </cell>
          <cell r="AP147">
            <v>974</v>
          </cell>
        </row>
        <row r="148">
          <cell r="C148">
            <v>44409</v>
          </cell>
          <cell r="N148">
            <v>480</v>
          </cell>
          <cell r="O148">
            <v>125</v>
          </cell>
          <cell r="AP148">
            <v>1122</v>
          </cell>
        </row>
        <row r="149">
          <cell r="C149">
            <v>44409</v>
          </cell>
          <cell r="N149">
            <v>480</v>
          </cell>
          <cell r="O149">
            <v>125</v>
          </cell>
          <cell r="AP149">
            <v>1103</v>
          </cell>
        </row>
        <row r="150">
          <cell r="C150">
            <v>44409</v>
          </cell>
          <cell r="N150">
            <v>480</v>
          </cell>
          <cell r="O150">
            <v>125</v>
          </cell>
          <cell r="AP150">
            <v>943</v>
          </cell>
        </row>
        <row r="151">
          <cell r="C151">
            <v>44409</v>
          </cell>
          <cell r="N151">
            <v>480</v>
          </cell>
          <cell r="O151">
            <v>125</v>
          </cell>
          <cell r="AP151">
            <v>942</v>
          </cell>
        </row>
        <row r="152">
          <cell r="C152">
            <v>44409</v>
          </cell>
          <cell r="N152">
            <v>480</v>
          </cell>
          <cell r="O152">
            <v>125</v>
          </cell>
          <cell r="AP152">
            <v>1105</v>
          </cell>
        </row>
        <row r="153">
          <cell r="C153">
            <v>44409</v>
          </cell>
          <cell r="N153">
            <v>480</v>
          </cell>
          <cell r="O153">
            <v>125</v>
          </cell>
          <cell r="AP153">
            <v>1105</v>
          </cell>
        </row>
        <row r="154">
          <cell r="C154">
            <v>44409</v>
          </cell>
          <cell r="N154">
            <v>480</v>
          </cell>
          <cell r="O154">
            <v>125</v>
          </cell>
          <cell r="AP154">
            <v>945</v>
          </cell>
        </row>
        <row r="155">
          <cell r="C155">
            <v>44409</v>
          </cell>
          <cell r="N155">
            <v>480</v>
          </cell>
          <cell r="O155">
            <v>125</v>
          </cell>
          <cell r="AP155">
            <v>945</v>
          </cell>
        </row>
        <row r="156">
          <cell r="C156">
            <v>44409</v>
          </cell>
          <cell r="N156">
            <v>480</v>
          </cell>
          <cell r="O156">
            <v>125</v>
          </cell>
          <cell r="AP156">
            <v>1104</v>
          </cell>
        </row>
        <row r="157">
          <cell r="C157">
            <v>44409</v>
          </cell>
          <cell r="N157">
            <v>480</v>
          </cell>
          <cell r="O157">
            <v>125</v>
          </cell>
          <cell r="AP157">
            <v>1470</v>
          </cell>
        </row>
        <row r="158">
          <cell r="C158">
            <v>44409</v>
          </cell>
          <cell r="N158">
            <v>480</v>
          </cell>
          <cell r="O158">
            <v>125</v>
          </cell>
          <cell r="AP158">
            <v>1102</v>
          </cell>
        </row>
        <row r="159">
          <cell r="C159">
            <v>44409</v>
          </cell>
          <cell r="N159">
            <v>480</v>
          </cell>
          <cell r="O159">
            <v>125</v>
          </cell>
          <cell r="AP159">
            <v>1466</v>
          </cell>
        </row>
        <row r="160">
          <cell r="C160">
            <v>44409</v>
          </cell>
          <cell r="N160">
            <v>480</v>
          </cell>
          <cell r="O160">
            <v>125</v>
          </cell>
          <cell r="AP160">
            <v>1512</v>
          </cell>
        </row>
        <row r="161">
          <cell r="C161">
            <v>44409</v>
          </cell>
          <cell r="N161">
            <v>480</v>
          </cell>
          <cell r="O161">
            <v>125</v>
          </cell>
          <cell r="AP161">
            <v>1131</v>
          </cell>
        </row>
        <row r="162">
          <cell r="C162">
            <v>44409</v>
          </cell>
          <cell r="N162">
            <v>480</v>
          </cell>
          <cell r="O162">
            <v>125</v>
          </cell>
          <cell r="AP162">
            <v>1518</v>
          </cell>
        </row>
        <row r="163">
          <cell r="C163">
            <v>44409</v>
          </cell>
          <cell r="N163">
            <v>480</v>
          </cell>
          <cell r="O163">
            <v>125</v>
          </cell>
          <cell r="AP163">
            <v>1509</v>
          </cell>
        </row>
        <row r="164">
          <cell r="C164">
            <v>44409</v>
          </cell>
          <cell r="N164">
            <v>480</v>
          </cell>
          <cell r="O164">
            <v>125</v>
          </cell>
          <cell r="AP164">
            <v>1131</v>
          </cell>
        </row>
        <row r="165">
          <cell r="C165">
            <v>44409</v>
          </cell>
          <cell r="N165">
            <v>480</v>
          </cell>
          <cell r="O165">
            <v>125</v>
          </cell>
          <cell r="AP165">
            <v>1511</v>
          </cell>
        </row>
        <row r="166">
          <cell r="C166">
            <v>44409</v>
          </cell>
          <cell r="N166">
            <v>480</v>
          </cell>
          <cell r="O166">
            <v>125</v>
          </cell>
          <cell r="AP166">
            <v>1481</v>
          </cell>
        </row>
        <row r="167">
          <cell r="C167">
            <v>44409</v>
          </cell>
          <cell r="N167">
            <v>480</v>
          </cell>
          <cell r="O167">
            <v>125</v>
          </cell>
          <cell r="AP167">
            <v>1110</v>
          </cell>
        </row>
        <row r="168">
          <cell r="C168">
            <v>44409</v>
          </cell>
          <cell r="N168">
            <v>480</v>
          </cell>
          <cell r="O168">
            <v>125</v>
          </cell>
          <cell r="AP168">
            <v>1474</v>
          </cell>
        </row>
        <row r="169">
          <cell r="C169">
            <v>44409</v>
          </cell>
          <cell r="N169">
            <v>480</v>
          </cell>
          <cell r="O169">
            <v>125</v>
          </cell>
          <cell r="AP169">
            <v>1406</v>
          </cell>
        </row>
        <row r="170">
          <cell r="C170">
            <v>44409</v>
          </cell>
          <cell r="N170">
            <v>480</v>
          </cell>
          <cell r="O170">
            <v>125</v>
          </cell>
          <cell r="AP170">
            <v>1061</v>
          </cell>
        </row>
        <row r="171">
          <cell r="C171">
            <v>44409</v>
          </cell>
          <cell r="N171">
            <v>480</v>
          </cell>
          <cell r="O171">
            <v>125</v>
          </cell>
          <cell r="AP171">
            <v>1412</v>
          </cell>
        </row>
        <row r="172">
          <cell r="C172">
            <v>44409</v>
          </cell>
          <cell r="N172">
            <v>480</v>
          </cell>
          <cell r="O172">
            <v>125</v>
          </cell>
          <cell r="AP172">
            <v>1485</v>
          </cell>
        </row>
        <row r="173">
          <cell r="C173">
            <v>44409</v>
          </cell>
          <cell r="N173">
            <v>480</v>
          </cell>
          <cell r="O173">
            <v>125</v>
          </cell>
          <cell r="AP173">
            <v>1070</v>
          </cell>
        </row>
        <row r="174">
          <cell r="C174">
            <v>44409</v>
          </cell>
          <cell r="N174">
            <v>480</v>
          </cell>
          <cell r="O174">
            <v>125</v>
          </cell>
          <cell r="AP174">
            <v>1528</v>
          </cell>
        </row>
        <row r="175">
          <cell r="C175">
            <v>44409</v>
          </cell>
          <cell r="N175">
            <v>480</v>
          </cell>
          <cell r="O175">
            <v>125</v>
          </cell>
          <cell r="AP175">
            <v>1464</v>
          </cell>
        </row>
        <row r="176">
          <cell r="C176">
            <v>44409</v>
          </cell>
          <cell r="N176">
            <v>480</v>
          </cell>
          <cell r="O176">
            <v>125</v>
          </cell>
          <cell r="AP176">
            <v>1054</v>
          </cell>
        </row>
        <row r="177">
          <cell r="C177">
            <v>44409</v>
          </cell>
          <cell r="N177">
            <v>480</v>
          </cell>
          <cell r="O177">
            <v>125</v>
          </cell>
          <cell r="AP177">
            <v>1505</v>
          </cell>
        </row>
        <row r="178">
          <cell r="C178">
            <v>44409</v>
          </cell>
          <cell r="N178">
            <v>480</v>
          </cell>
          <cell r="O178">
            <v>125</v>
          </cell>
          <cell r="AP178">
            <v>1458</v>
          </cell>
        </row>
        <row r="179">
          <cell r="C179">
            <v>44409</v>
          </cell>
          <cell r="N179">
            <v>480</v>
          </cell>
          <cell r="O179">
            <v>125</v>
          </cell>
          <cell r="AP179">
            <v>1050</v>
          </cell>
        </row>
        <row r="180">
          <cell r="C180">
            <v>44409</v>
          </cell>
          <cell r="N180">
            <v>480</v>
          </cell>
          <cell r="O180">
            <v>125</v>
          </cell>
          <cell r="AP180">
            <v>1498</v>
          </cell>
        </row>
        <row r="181">
          <cell r="C181">
            <v>44409</v>
          </cell>
          <cell r="N181">
            <v>480</v>
          </cell>
          <cell r="O181">
            <v>125</v>
          </cell>
          <cell r="AP181">
            <v>1435</v>
          </cell>
        </row>
        <row r="182">
          <cell r="C182">
            <v>44409</v>
          </cell>
          <cell r="N182">
            <v>480</v>
          </cell>
          <cell r="O182">
            <v>125</v>
          </cell>
          <cell r="AP182">
            <v>1034</v>
          </cell>
        </row>
        <row r="183">
          <cell r="C183">
            <v>44409</v>
          </cell>
          <cell r="N183">
            <v>480</v>
          </cell>
          <cell r="O183">
            <v>125</v>
          </cell>
          <cell r="AP183">
            <v>1476</v>
          </cell>
        </row>
        <row r="184">
          <cell r="C184">
            <v>44409</v>
          </cell>
          <cell r="N184">
            <v>480</v>
          </cell>
          <cell r="O184">
            <v>125</v>
          </cell>
          <cell r="AP184">
            <v>1476</v>
          </cell>
        </row>
        <row r="185">
          <cell r="C185">
            <v>44409</v>
          </cell>
          <cell r="N185">
            <v>480</v>
          </cell>
          <cell r="O185">
            <v>125</v>
          </cell>
          <cell r="AP185">
            <v>1062</v>
          </cell>
        </row>
        <row r="186">
          <cell r="C186">
            <v>44409</v>
          </cell>
          <cell r="N186">
            <v>480</v>
          </cell>
          <cell r="O186">
            <v>125</v>
          </cell>
          <cell r="AP186">
            <v>1509</v>
          </cell>
        </row>
        <row r="187">
          <cell r="C187">
            <v>44409</v>
          </cell>
          <cell r="N187">
            <v>475</v>
          </cell>
          <cell r="O187">
            <v>125</v>
          </cell>
          <cell r="AP187">
            <v>1346</v>
          </cell>
        </row>
        <row r="188">
          <cell r="C188">
            <v>44409</v>
          </cell>
          <cell r="N188">
            <v>475</v>
          </cell>
          <cell r="O188">
            <v>125</v>
          </cell>
          <cell r="AP188">
            <v>1148</v>
          </cell>
        </row>
        <row r="189">
          <cell r="C189">
            <v>44409</v>
          </cell>
          <cell r="N189">
            <v>475</v>
          </cell>
          <cell r="O189">
            <v>125</v>
          </cell>
          <cell r="AP189">
            <v>1500</v>
          </cell>
        </row>
        <row r="190">
          <cell r="C190">
            <v>44409</v>
          </cell>
          <cell r="N190">
            <v>475</v>
          </cell>
          <cell r="O190">
            <v>125</v>
          </cell>
          <cell r="AP190">
            <v>1378</v>
          </cell>
        </row>
        <row r="191">
          <cell r="C191">
            <v>44409</v>
          </cell>
          <cell r="N191">
            <v>475</v>
          </cell>
          <cell r="O191">
            <v>125</v>
          </cell>
          <cell r="AP191">
            <v>1174</v>
          </cell>
        </row>
        <row r="192">
          <cell r="C192">
            <v>44409</v>
          </cell>
          <cell r="N192">
            <v>475</v>
          </cell>
          <cell r="O192">
            <v>125</v>
          </cell>
          <cell r="AP192">
            <v>1552</v>
          </cell>
        </row>
        <row r="193">
          <cell r="C193">
            <v>44409</v>
          </cell>
          <cell r="N193">
            <v>475</v>
          </cell>
          <cell r="O193">
            <v>125</v>
          </cell>
          <cell r="AP193">
            <v>1384</v>
          </cell>
        </row>
        <row r="194">
          <cell r="C194">
            <v>44409</v>
          </cell>
          <cell r="N194">
            <v>475</v>
          </cell>
          <cell r="O194">
            <v>125</v>
          </cell>
          <cell r="AP194">
            <v>1186</v>
          </cell>
        </row>
        <row r="195">
          <cell r="C195">
            <v>44409</v>
          </cell>
          <cell r="N195">
            <v>475</v>
          </cell>
          <cell r="O195">
            <v>125</v>
          </cell>
          <cell r="AP195">
            <v>1564</v>
          </cell>
        </row>
        <row r="196">
          <cell r="C196">
            <v>44409</v>
          </cell>
          <cell r="N196">
            <v>475</v>
          </cell>
          <cell r="O196">
            <v>125</v>
          </cell>
          <cell r="AP196">
            <v>1327</v>
          </cell>
        </row>
        <row r="197">
          <cell r="C197">
            <v>44409</v>
          </cell>
          <cell r="N197">
            <v>475</v>
          </cell>
          <cell r="O197">
            <v>125</v>
          </cell>
          <cell r="AP197">
            <v>1133</v>
          </cell>
        </row>
        <row r="198">
          <cell r="C198">
            <v>44409</v>
          </cell>
          <cell r="N198">
            <v>475</v>
          </cell>
          <cell r="O198">
            <v>125</v>
          </cell>
          <cell r="AP198">
            <v>1492</v>
          </cell>
        </row>
        <row r="199">
          <cell r="C199">
            <v>44409</v>
          </cell>
          <cell r="N199">
            <v>475</v>
          </cell>
          <cell r="O199">
            <v>125</v>
          </cell>
          <cell r="AP199">
            <v>1336</v>
          </cell>
        </row>
        <row r="200">
          <cell r="C200">
            <v>44409</v>
          </cell>
          <cell r="N200">
            <v>475</v>
          </cell>
          <cell r="O200">
            <v>125</v>
          </cell>
          <cell r="AP200">
            <v>1136</v>
          </cell>
        </row>
        <row r="201">
          <cell r="C201">
            <v>44409</v>
          </cell>
          <cell r="N201">
            <v>475</v>
          </cell>
          <cell r="O201">
            <v>125</v>
          </cell>
          <cell r="AP201">
            <v>1499</v>
          </cell>
        </row>
        <row r="202">
          <cell r="C202">
            <v>44409</v>
          </cell>
          <cell r="N202">
            <v>475</v>
          </cell>
          <cell r="O202">
            <v>125</v>
          </cell>
          <cell r="AP202">
            <v>993</v>
          </cell>
        </row>
        <row r="203">
          <cell r="C203">
            <v>44409</v>
          </cell>
          <cell r="N203">
            <v>475</v>
          </cell>
          <cell r="O203">
            <v>125</v>
          </cell>
          <cell r="AP203">
            <v>834</v>
          </cell>
        </row>
        <row r="204">
          <cell r="C204">
            <v>44409</v>
          </cell>
          <cell r="N204">
            <v>475</v>
          </cell>
          <cell r="O204">
            <v>125</v>
          </cell>
          <cell r="AP204">
            <v>877</v>
          </cell>
        </row>
        <row r="205">
          <cell r="C205">
            <v>44409</v>
          </cell>
          <cell r="N205">
            <v>475</v>
          </cell>
          <cell r="O205">
            <v>125</v>
          </cell>
          <cell r="AP205">
            <v>1235</v>
          </cell>
        </row>
        <row r="206">
          <cell r="C206">
            <v>44409</v>
          </cell>
          <cell r="N206">
            <v>475</v>
          </cell>
          <cell r="O206">
            <v>125</v>
          </cell>
          <cell r="AP206">
            <v>995</v>
          </cell>
        </row>
        <row r="207">
          <cell r="C207">
            <v>44409</v>
          </cell>
          <cell r="N207">
            <v>475</v>
          </cell>
          <cell r="O207">
            <v>125</v>
          </cell>
          <cell r="AP207">
            <v>834</v>
          </cell>
        </row>
        <row r="208">
          <cell r="C208">
            <v>44409</v>
          </cell>
          <cell r="N208">
            <v>475</v>
          </cell>
          <cell r="O208">
            <v>125</v>
          </cell>
          <cell r="AP208">
            <v>878</v>
          </cell>
        </row>
        <row r="209">
          <cell r="C209">
            <v>44409</v>
          </cell>
          <cell r="N209">
            <v>475</v>
          </cell>
          <cell r="O209">
            <v>125</v>
          </cell>
          <cell r="AP209">
            <v>1241</v>
          </cell>
        </row>
        <row r="210">
          <cell r="C210">
            <v>44409</v>
          </cell>
          <cell r="N210">
            <v>475</v>
          </cell>
          <cell r="O210">
            <v>125</v>
          </cell>
          <cell r="AP210">
            <v>991</v>
          </cell>
        </row>
        <row r="211">
          <cell r="C211">
            <v>44409</v>
          </cell>
          <cell r="N211">
            <v>475</v>
          </cell>
          <cell r="O211">
            <v>125</v>
          </cell>
          <cell r="AP211">
            <v>844</v>
          </cell>
        </row>
        <row r="212">
          <cell r="C212">
            <v>44409</v>
          </cell>
          <cell r="N212">
            <v>475</v>
          </cell>
          <cell r="O212">
            <v>125</v>
          </cell>
          <cell r="AP212">
            <v>887</v>
          </cell>
        </row>
        <row r="213">
          <cell r="C213">
            <v>44409</v>
          </cell>
          <cell r="N213">
            <v>475</v>
          </cell>
          <cell r="O213">
            <v>125</v>
          </cell>
          <cell r="AP213">
            <v>1258</v>
          </cell>
        </row>
        <row r="214">
          <cell r="C214">
            <v>44409</v>
          </cell>
          <cell r="N214">
            <v>475</v>
          </cell>
          <cell r="O214">
            <v>125</v>
          </cell>
          <cell r="AP214">
            <v>1020</v>
          </cell>
        </row>
        <row r="215">
          <cell r="C215">
            <v>44409</v>
          </cell>
          <cell r="N215">
            <v>475</v>
          </cell>
          <cell r="O215">
            <v>125</v>
          </cell>
          <cell r="AP215">
            <v>978</v>
          </cell>
        </row>
        <row r="216">
          <cell r="C216">
            <v>44409</v>
          </cell>
          <cell r="N216">
            <v>475</v>
          </cell>
          <cell r="O216">
            <v>125</v>
          </cell>
          <cell r="AP216">
            <v>933</v>
          </cell>
        </row>
        <row r="217">
          <cell r="C217">
            <v>44409</v>
          </cell>
          <cell r="N217">
            <v>475</v>
          </cell>
          <cell r="O217">
            <v>125</v>
          </cell>
          <cell r="AP217">
            <v>1275</v>
          </cell>
        </row>
        <row r="218">
          <cell r="C218">
            <v>44409</v>
          </cell>
          <cell r="N218">
            <v>475</v>
          </cell>
          <cell r="O218">
            <v>125</v>
          </cell>
          <cell r="AP218">
            <v>1000</v>
          </cell>
        </row>
        <row r="219">
          <cell r="C219">
            <v>44409</v>
          </cell>
          <cell r="N219">
            <v>475</v>
          </cell>
          <cell r="O219">
            <v>125</v>
          </cell>
          <cell r="AP219">
            <v>963</v>
          </cell>
        </row>
        <row r="220">
          <cell r="C220">
            <v>44409</v>
          </cell>
          <cell r="N220">
            <v>475</v>
          </cell>
          <cell r="O220">
            <v>125</v>
          </cell>
          <cell r="AP220">
            <v>920</v>
          </cell>
        </row>
        <row r="221">
          <cell r="C221">
            <v>44409</v>
          </cell>
          <cell r="N221">
            <v>475</v>
          </cell>
          <cell r="O221">
            <v>125</v>
          </cell>
          <cell r="AP221">
            <v>1256</v>
          </cell>
        </row>
        <row r="222">
          <cell r="C222">
            <v>44409</v>
          </cell>
          <cell r="N222">
            <v>475</v>
          </cell>
          <cell r="O222">
            <v>125</v>
          </cell>
          <cell r="AP222">
            <v>1023</v>
          </cell>
        </row>
        <row r="223">
          <cell r="C223">
            <v>44409</v>
          </cell>
          <cell r="N223">
            <v>475</v>
          </cell>
          <cell r="O223">
            <v>125</v>
          </cell>
          <cell r="AP223">
            <v>986</v>
          </cell>
        </row>
        <row r="224">
          <cell r="C224">
            <v>44409</v>
          </cell>
          <cell r="N224">
            <v>475</v>
          </cell>
          <cell r="O224">
            <v>125</v>
          </cell>
          <cell r="AP224">
            <v>942</v>
          </cell>
        </row>
        <row r="225">
          <cell r="C225">
            <v>44409</v>
          </cell>
          <cell r="N225">
            <v>475</v>
          </cell>
          <cell r="O225">
            <v>125</v>
          </cell>
          <cell r="AP225">
            <v>1285</v>
          </cell>
        </row>
        <row r="226">
          <cell r="C226">
            <v>44409</v>
          </cell>
          <cell r="N226">
            <v>475</v>
          </cell>
          <cell r="O226">
            <v>125</v>
          </cell>
          <cell r="AP226">
            <v>1029</v>
          </cell>
        </row>
        <row r="227">
          <cell r="C227">
            <v>44409</v>
          </cell>
          <cell r="N227">
            <v>475</v>
          </cell>
          <cell r="O227">
            <v>125</v>
          </cell>
          <cell r="AP227">
            <v>991</v>
          </cell>
        </row>
        <row r="228">
          <cell r="C228">
            <v>44409</v>
          </cell>
          <cell r="N228">
            <v>475</v>
          </cell>
          <cell r="O228">
            <v>125</v>
          </cell>
          <cell r="AP228">
            <v>948</v>
          </cell>
        </row>
        <row r="229">
          <cell r="C229">
            <v>44409</v>
          </cell>
          <cell r="N229">
            <v>475</v>
          </cell>
          <cell r="O229">
            <v>125</v>
          </cell>
          <cell r="AP229">
            <v>1292</v>
          </cell>
        </row>
        <row r="230">
          <cell r="C230">
            <v>44409</v>
          </cell>
          <cell r="N230">
            <v>475</v>
          </cell>
          <cell r="O230">
            <v>125</v>
          </cell>
          <cell r="AP230">
            <v>1041</v>
          </cell>
        </row>
        <row r="231">
          <cell r="C231">
            <v>44409</v>
          </cell>
          <cell r="N231">
            <v>475</v>
          </cell>
          <cell r="O231">
            <v>125</v>
          </cell>
          <cell r="AP231">
            <v>1004</v>
          </cell>
        </row>
        <row r="232">
          <cell r="C232">
            <v>44409</v>
          </cell>
          <cell r="N232">
            <v>475</v>
          </cell>
          <cell r="O232">
            <v>125</v>
          </cell>
          <cell r="AP232">
            <v>961</v>
          </cell>
        </row>
        <row r="233">
          <cell r="C233">
            <v>44409</v>
          </cell>
          <cell r="N233">
            <v>475</v>
          </cell>
          <cell r="O233">
            <v>125</v>
          </cell>
          <cell r="AP233">
            <v>1308</v>
          </cell>
        </row>
        <row r="234">
          <cell r="C234">
            <v>44409</v>
          </cell>
          <cell r="N234">
            <v>475</v>
          </cell>
          <cell r="O234">
            <v>125</v>
          </cell>
          <cell r="AP234">
            <v>977</v>
          </cell>
        </row>
        <row r="235">
          <cell r="C235">
            <v>44409</v>
          </cell>
          <cell r="N235">
            <v>475</v>
          </cell>
          <cell r="O235">
            <v>125</v>
          </cell>
          <cell r="AP235">
            <v>940</v>
          </cell>
        </row>
        <row r="236">
          <cell r="C236">
            <v>44409</v>
          </cell>
          <cell r="N236">
            <v>475</v>
          </cell>
          <cell r="O236">
            <v>125</v>
          </cell>
          <cell r="AP236">
            <v>899</v>
          </cell>
        </row>
        <row r="237">
          <cell r="C237">
            <v>44409</v>
          </cell>
          <cell r="N237">
            <v>475</v>
          </cell>
          <cell r="O237">
            <v>125</v>
          </cell>
          <cell r="AP237">
            <v>1225</v>
          </cell>
        </row>
        <row r="238">
          <cell r="C238">
            <v>44409</v>
          </cell>
          <cell r="N238">
            <v>475</v>
          </cell>
          <cell r="O238">
            <v>125</v>
          </cell>
          <cell r="AP238">
            <v>979</v>
          </cell>
        </row>
        <row r="239">
          <cell r="C239">
            <v>44409</v>
          </cell>
          <cell r="N239">
            <v>475</v>
          </cell>
          <cell r="O239">
            <v>125</v>
          </cell>
          <cell r="AP239">
            <v>946</v>
          </cell>
        </row>
        <row r="240">
          <cell r="C240">
            <v>44409</v>
          </cell>
          <cell r="N240">
            <v>475</v>
          </cell>
          <cell r="O240">
            <v>125</v>
          </cell>
          <cell r="AP240">
            <v>902</v>
          </cell>
        </row>
        <row r="241">
          <cell r="C241">
            <v>44409</v>
          </cell>
          <cell r="N241">
            <v>475</v>
          </cell>
          <cell r="O241">
            <v>125</v>
          </cell>
          <cell r="AP241">
            <v>1229</v>
          </cell>
        </row>
        <row r="242">
          <cell r="C242">
            <v>44409</v>
          </cell>
          <cell r="N242">
            <v>475</v>
          </cell>
          <cell r="O242">
            <v>125</v>
          </cell>
          <cell r="AP242">
            <v>977</v>
          </cell>
        </row>
        <row r="243">
          <cell r="C243">
            <v>44409</v>
          </cell>
          <cell r="N243">
            <v>475</v>
          </cell>
          <cell r="O243">
            <v>125</v>
          </cell>
          <cell r="AP243">
            <v>942</v>
          </cell>
        </row>
        <row r="244">
          <cell r="C244">
            <v>44409</v>
          </cell>
          <cell r="N244">
            <v>475</v>
          </cell>
          <cell r="O244">
            <v>125</v>
          </cell>
          <cell r="AP244">
            <v>901</v>
          </cell>
        </row>
        <row r="245">
          <cell r="C245">
            <v>44409</v>
          </cell>
          <cell r="N245">
            <v>475</v>
          </cell>
          <cell r="O245">
            <v>125</v>
          </cell>
          <cell r="AP245">
            <v>1225</v>
          </cell>
        </row>
        <row r="246">
          <cell r="C246">
            <v>44409</v>
          </cell>
          <cell r="N246">
            <v>476</v>
          </cell>
          <cell r="O246">
            <v>125</v>
          </cell>
          <cell r="AP246">
            <v>1283</v>
          </cell>
        </row>
        <row r="247">
          <cell r="C247">
            <v>44409</v>
          </cell>
          <cell r="N247">
            <v>476</v>
          </cell>
          <cell r="O247">
            <v>125</v>
          </cell>
          <cell r="AP247">
            <v>690</v>
          </cell>
        </row>
        <row r="248">
          <cell r="C248">
            <v>44409</v>
          </cell>
          <cell r="N248">
            <v>476</v>
          </cell>
          <cell r="O248">
            <v>125</v>
          </cell>
          <cell r="AP248">
            <v>693</v>
          </cell>
        </row>
        <row r="249">
          <cell r="C249">
            <v>44409</v>
          </cell>
          <cell r="N249">
            <v>476</v>
          </cell>
          <cell r="O249">
            <v>125</v>
          </cell>
          <cell r="AP249">
            <v>713</v>
          </cell>
        </row>
        <row r="250">
          <cell r="C250">
            <v>44409</v>
          </cell>
          <cell r="N250">
            <v>476</v>
          </cell>
          <cell r="O250">
            <v>125</v>
          </cell>
          <cell r="AP250">
            <v>705</v>
          </cell>
        </row>
        <row r="251">
          <cell r="C251">
            <v>44409</v>
          </cell>
          <cell r="N251">
            <v>476</v>
          </cell>
          <cell r="O251">
            <v>125</v>
          </cell>
          <cell r="AP251">
            <v>1335</v>
          </cell>
        </row>
        <row r="252">
          <cell r="C252">
            <v>44409</v>
          </cell>
          <cell r="N252">
            <v>476</v>
          </cell>
          <cell r="O252">
            <v>125</v>
          </cell>
          <cell r="AP252">
            <v>723</v>
          </cell>
        </row>
        <row r="253">
          <cell r="C253">
            <v>44409</v>
          </cell>
          <cell r="N253">
            <v>476</v>
          </cell>
          <cell r="O253">
            <v>125</v>
          </cell>
          <cell r="AP253">
            <v>720</v>
          </cell>
        </row>
        <row r="254">
          <cell r="C254">
            <v>44409</v>
          </cell>
          <cell r="N254">
            <v>476</v>
          </cell>
          <cell r="O254">
            <v>125</v>
          </cell>
          <cell r="AP254">
            <v>742</v>
          </cell>
        </row>
        <row r="255">
          <cell r="C255">
            <v>44409</v>
          </cell>
          <cell r="N255">
            <v>476</v>
          </cell>
          <cell r="O255">
            <v>125</v>
          </cell>
          <cell r="AP255">
            <v>736</v>
          </cell>
        </row>
        <row r="256">
          <cell r="C256">
            <v>44410</v>
          </cell>
          <cell r="N256">
            <v>476</v>
          </cell>
          <cell r="O256">
            <v>125</v>
          </cell>
          <cell r="AP256">
            <v>1277</v>
          </cell>
        </row>
        <row r="257">
          <cell r="C257">
            <v>44410</v>
          </cell>
          <cell r="N257">
            <v>476</v>
          </cell>
          <cell r="O257">
            <v>125</v>
          </cell>
          <cell r="AP257">
            <v>688</v>
          </cell>
        </row>
        <row r="258">
          <cell r="C258">
            <v>44410</v>
          </cell>
          <cell r="N258">
            <v>476</v>
          </cell>
          <cell r="O258">
            <v>125</v>
          </cell>
          <cell r="AP258">
            <v>688</v>
          </cell>
        </row>
        <row r="259">
          <cell r="C259">
            <v>44410</v>
          </cell>
          <cell r="N259">
            <v>476</v>
          </cell>
          <cell r="O259">
            <v>125</v>
          </cell>
          <cell r="AP259">
            <v>703</v>
          </cell>
        </row>
        <row r="260">
          <cell r="C260">
            <v>44410</v>
          </cell>
          <cell r="N260">
            <v>476</v>
          </cell>
          <cell r="O260">
            <v>125</v>
          </cell>
          <cell r="AP260">
            <v>708</v>
          </cell>
        </row>
        <row r="261">
          <cell r="C261">
            <v>44410</v>
          </cell>
          <cell r="N261">
            <v>476</v>
          </cell>
          <cell r="O261">
            <v>125</v>
          </cell>
          <cell r="AP261">
            <v>1294</v>
          </cell>
        </row>
        <row r="262">
          <cell r="C262">
            <v>44410</v>
          </cell>
          <cell r="N262">
            <v>476</v>
          </cell>
          <cell r="O262">
            <v>125</v>
          </cell>
          <cell r="AP262">
            <v>695</v>
          </cell>
        </row>
        <row r="263">
          <cell r="C263">
            <v>44410</v>
          </cell>
          <cell r="N263">
            <v>476</v>
          </cell>
          <cell r="O263">
            <v>125</v>
          </cell>
          <cell r="AP263">
            <v>694</v>
          </cell>
        </row>
        <row r="264">
          <cell r="C264">
            <v>44410</v>
          </cell>
          <cell r="N264">
            <v>476</v>
          </cell>
          <cell r="O264">
            <v>125</v>
          </cell>
          <cell r="AP264">
            <v>714</v>
          </cell>
        </row>
        <row r="265">
          <cell r="C265">
            <v>44410</v>
          </cell>
          <cell r="N265">
            <v>476</v>
          </cell>
          <cell r="O265">
            <v>125</v>
          </cell>
          <cell r="AP265">
            <v>717</v>
          </cell>
        </row>
        <row r="266">
          <cell r="C266">
            <v>44410</v>
          </cell>
          <cell r="N266">
            <v>476</v>
          </cell>
          <cell r="O266">
            <v>125</v>
          </cell>
          <cell r="AP266">
            <v>1315</v>
          </cell>
        </row>
        <row r="267">
          <cell r="C267">
            <v>44410</v>
          </cell>
          <cell r="N267">
            <v>476</v>
          </cell>
          <cell r="O267">
            <v>125</v>
          </cell>
          <cell r="AP267">
            <v>708</v>
          </cell>
        </row>
        <row r="268">
          <cell r="C268">
            <v>44410</v>
          </cell>
          <cell r="N268">
            <v>476</v>
          </cell>
          <cell r="O268">
            <v>125</v>
          </cell>
          <cell r="AP268">
            <v>711</v>
          </cell>
        </row>
        <row r="269">
          <cell r="C269">
            <v>44410</v>
          </cell>
          <cell r="N269">
            <v>476</v>
          </cell>
          <cell r="O269">
            <v>125</v>
          </cell>
          <cell r="AP269">
            <v>724</v>
          </cell>
        </row>
        <row r="270">
          <cell r="C270">
            <v>44410</v>
          </cell>
          <cell r="N270">
            <v>476</v>
          </cell>
          <cell r="O270">
            <v>125</v>
          </cell>
          <cell r="AP270">
            <v>728</v>
          </cell>
        </row>
        <row r="271">
          <cell r="C271">
            <v>44409</v>
          </cell>
          <cell r="N271">
            <v>476</v>
          </cell>
          <cell r="O271">
            <v>125</v>
          </cell>
          <cell r="AP271">
            <v>1322</v>
          </cell>
        </row>
        <row r="272">
          <cell r="C272">
            <v>44409</v>
          </cell>
          <cell r="N272">
            <v>476</v>
          </cell>
          <cell r="O272">
            <v>125</v>
          </cell>
          <cell r="AP272">
            <v>710</v>
          </cell>
        </row>
        <row r="273">
          <cell r="C273">
            <v>44409</v>
          </cell>
          <cell r="N273">
            <v>476</v>
          </cell>
          <cell r="O273">
            <v>125</v>
          </cell>
          <cell r="AP273">
            <v>711</v>
          </cell>
        </row>
        <row r="274">
          <cell r="C274">
            <v>44409</v>
          </cell>
          <cell r="N274">
            <v>476</v>
          </cell>
          <cell r="O274">
            <v>125</v>
          </cell>
          <cell r="AP274">
            <v>727</v>
          </cell>
        </row>
        <row r="275">
          <cell r="C275">
            <v>44409</v>
          </cell>
          <cell r="N275">
            <v>476</v>
          </cell>
          <cell r="O275">
            <v>125</v>
          </cell>
          <cell r="AP275">
            <v>733</v>
          </cell>
        </row>
        <row r="276">
          <cell r="C276">
            <v>44409</v>
          </cell>
          <cell r="N276">
            <v>476</v>
          </cell>
          <cell r="O276">
            <v>125</v>
          </cell>
          <cell r="AP276">
            <v>1313</v>
          </cell>
        </row>
        <row r="277">
          <cell r="C277">
            <v>44409</v>
          </cell>
          <cell r="N277">
            <v>476</v>
          </cell>
          <cell r="O277">
            <v>125</v>
          </cell>
          <cell r="AP277">
            <v>708</v>
          </cell>
        </row>
        <row r="278">
          <cell r="C278">
            <v>44409</v>
          </cell>
          <cell r="N278">
            <v>476</v>
          </cell>
          <cell r="O278">
            <v>125</v>
          </cell>
          <cell r="AP278">
            <v>706</v>
          </cell>
        </row>
        <row r="279">
          <cell r="C279">
            <v>44409</v>
          </cell>
          <cell r="N279">
            <v>476</v>
          </cell>
          <cell r="O279">
            <v>125</v>
          </cell>
          <cell r="AP279">
            <v>729</v>
          </cell>
        </row>
        <row r="280">
          <cell r="C280">
            <v>44409</v>
          </cell>
          <cell r="N280">
            <v>476</v>
          </cell>
          <cell r="O280">
            <v>125</v>
          </cell>
          <cell r="AP280">
            <v>722</v>
          </cell>
        </row>
        <row r="281">
          <cell r="C281">
            <v>44409</v>
          </cell>
          <cell r="N281">
            <v>476</v>
          </cell>
          <cell r="O281">
            <v>125</v>
          </cell>
          <cell r="AP281">
            <v>1310</v>
          </cell>
        </row>
        <row r="282">
          <cell r="C282">
            <v>44409</v>
          </cell>
          <cell r="N282">
            <v>476</v>
          </cell>
          <cell r="O282">
            <v>125</v>
          </cell>
          <cell r="AP282">
            <v>705</v>
          </cell>
        </row>
        <row r="283">
          <cell r="C283">
            <v>44409</v>
          </cell>
          <cell r="N283">
            <v>476</v>
          </cell>
          <cell r="O283">
            <v>125</v>
          </cell>
          <cell r="AP283">
            <v>704</v>
          </cell>
        </row>
        <row r="284">
          <cell r="C284">
            <v>44409</v>
          </cell>
          <cell r="N284">
            <v>476</v>
          </cell>
          <cell r="O284">
            <v>125</v>
          </cell>
          <cell r="AP284">
            <v>720</v>
          </cell>
        </row>
        <row r="285">
          <cell r="C285">
            <v>44409</v>
          </cell>
          <cell r="N285">
            <v>476</v>
          </cell>
          <cell r="O285">
            <v>125</v>
          </cell>
          <cell r="AP285">
            <v>726</v>
          </cell>
        </row>
        <row r="286">
          <cell r="C286">
            <v>44410</v>
          </cell>
          <cell r="N286">
            <v>486</v>
          </cell>
          <cell r="O286">
            <v>120</v>
          </cell>
          <cell r="AP286">
            <v>1397</v>
          </cell>
        </row>
        <row r="287">
          <cell r="C287">
            <v>44410</v>
          </cell>
          <cell r="N287">
            <v>486</v>
          </cell>
          <cell r="O287">
            <v>120</v>
          </cell>
          <cell r="AP287">
            <v>1387</v>
          </cell>
        </row>
        <row r="288">
          <cell r="C288">
            <v>44410</v>
          </cell>
          <cell r="N288">
            <v>486</v>
          </cell>
          <cell r="O288">
            <v>120</v>
          </cell>
          <cell r="AP288">
            <v>1401</v>
          </cell>
        </row>
        <row r="289">
          <cell r="C289">
            <v>44410</v>
          </cell>
          <cell r="N289">
            <v>486</v>
          </cell>
          <cell r="O289">
            <v>120</v>
          </cell>
          <cell r="AP289">
            <v>1386</v>
          </cell>
        </row>
        <row r="290">
          <cell r="C290">
            <v>44410</v>
          </cell>
          <cell r="N290">
            <v>486</v>
          </cell>
          <cell r="O290">
            <v>120</v>
          </cell>
          <cell r="AP290">
            <v>1392</v>
          </cell>
        </row>
        <row r="291">
          <cell r="C291">
            <v>44410</v>
          </cell>
          <cell r="N291">
            <v>486</v>
          </cell>
          <cell r="O291">
            <v>120</v>
          </cell>
          <cell r="AP291">
            <v>1374</v>
          </cell>
        </row>
        <row r="292">
          <cell r="C292">
            <v>44410</v>
          </cell>
          <cell r="N292">
            <v>486</v>
          </cell>
          <cell r="O292">
            <v>120</v>
          </cell>
          <cell r="AP292">
            <v>1415</v>
          </cell>
        </row>
        <row r="293">
          <cell r="C293">
            <v>44410</v>
          </cell>
          <cell r="N293">
            <v>486</v>
          </cell>
          <cell r="O293">
            <v>120</v>
          </cell>
          <cell r="AP293">
            <v>1420</v>
          </cell>
        </row>
        <row r="294">
          <cell r="C294">
            <v>44410</v>
          </cell>
          <cell r="N294">
            <v>486</v>
          </cell>
          <cell r="O294">
            <v>120</v>
          </cell>
          <cell r="AP294">
            <v>1403</v>
          </cell>
        </row>
        <row r="295">
          <cell r="C295">
            <v>44410</v>
          </cell>
          <cell r="N295">
            <v>486</v>
          </cell>
          <cell r="O295">
            <v>120</v>
          </cell>
          <cell r="AP295">
            <v>1401</v>
          </cell>
        </row>
        <row r="296">
          <cell r="C296">
            <v>44410</v>
          </cell>
          <cell r="N296">
            <v>486</v>
          </cell>
          <cell r="O296">
            <v>120</v>
          </cell>
          <cell r="AP296">
            <v>1407</v>
          </cell>
        </row>
        <row r="297">
          <cell r="C297">
            <v>44410</v>
          </cell>
          <cell r="N297">
            <v>486</v>
          </cell>
          <cell r="O297">
            <v>120</v>
          </cell>
          <cell r="AP297">
            <v>1390</v>
          </cell>
        </row>
        <row r="298">
          <cell r="C298">
            <v>44410</v>
          </cell>
          <cell r="N298">
            <v>486</v>
          </cell>
          <cell r="O298">
            <v>120</v>
          </cell>
          <cell r="AP298">
            <v>1412</v>
          </cell>
        </row>
        <row r="299">
          <cell r="C299">
            <v>44410</v>
          </cell>
          <cell r="N299">
            <v>486</v>
          </cell>
          <cell r="O299">
            <v>120</v>
          </cell>
          <cell r="AP299">
            <v>1421</v>
          </cell>
        </row>
        <row r="300">
          <cell r="C300">
            <v>44410</v>
          </cell>
          <cell r="N300">
            <v>486</v>
          </cell>
          <cell r="O300">
            <v>120</v>
          </cell>
          <cell r="AP300">
            <v>1408</v>
          </cell>
        </row>
        <row r="301">
          <cell r="C301">
            <v>44410</v>
          </cell>
          <cell r="N301">
            <v>486</v>
          </cell>
          <cell r="O301">
            <v>120</v>
          </cell>
          <cell r="AP301">
            <v>1282</v>
          </cell>
        </row>
        <row r="302">
          <cell r="C302">
            <v>44410</v>
          </cell>
          <cell r="N302">
            <v>486</v>
          </cell>
          <cell r="O302">
            <v>120</v>
          </cell>
          <cell r="AP302">
            <v>1290</v>
          </cell>
        </row>
        <row r="303">
          <cell r="C303">
            <v>44410</v>
          </cell>
          <cell r="N303">
            <v>486</v>
          </cell>
          <cell r="O303">
            <v>120</v>
          </cell>
          <cell r="AP303">
            <v>1285</v>
          </cell>
        </row>
        <row r="304">
          <cell r="C304">
            <v>44410</v>
          </cell>
          <cell r="N304">
            <v>486</v>
          </cell>
          <cell r="O304">
            <v>120</v>
          </cell>
          <cell r="AP304">
            <v>1385</v>
          </cell>
        </row>
        <row r="305">
          <cell r="C305">
            <v>44410</v>
          </cell>
          <cell r="N305">
            <v>486</v>
          </cell>
          <cell r="O305">
            <v>120</v>
          </cell>
          <cell r="AP305">
            <v>1394</v>
          </cell>
        </row>
        <row r="306">
          <cell r="C306">
            <v>44410</v>
          </cell>
          <cell r="N306">
            <v>486</v>
          </cell>
          <cell r="O306">
            <v>120</v>
          </cell>
          <cell r="AP306">
            <v>1379</v>
          </cell>
        </row>
        <row r="307">
          <cell r="C307">
            <v>44410</v>
          </cell>
          <cell r="N307">
            <v>486</v>
          </cell>
          <cell r="O307">
            <v>120</v>
          </cell>
          <cell r="AP307">
            <v>1387</v>
          </cell>
        </row>
        <row r="308">
          <cell r="C308">
            <v>44410</v>
          </cell>
          <cell r="N308">
            <v>486</v>
          </cell>
          <cell r="O308">
            <v>120</v>
          </cell>
          <cell r="AP308">
            <v>1396</v>
          </cell>
        </row>
        <row r="309">
          <cell r="C309">
            <v>44410</v>
          </cell>
          <cell r="N309">
            <v>486</v>
          </cell>
          <cell r="O309">
            <v>120</v>
          </cell>
          <cell r="AP309">
            <v>1381</v>
          </cell>
        </row>
        <row r="310">
          <cell r="C310">
            <v>44410</v>
          </cell>
          <cell r="N310">
            <v>486</v>
          </cell>
          <cell r="O310">
            <v>120</v>
          </cell>
          <cell r="AP310">
            <v>1422</v>
          </cell>
        </row>
        <row r="311">
          <cell r="C311">
            <v>44410</v>
          </cell>
          <cell r="N311">
            <v>486</v>
          </cell>
          <cell r="O311">
            <v>120</v>
          </cell>
          <cell r="AP311">
            <v>1431</v>
          </cell>
        </row>
        <row r="312">
          <cell r="C312">
            <v>44410</v>
          </cell>
          <cell r="N312">
            <v>486</v>
          </cell>
          <cell r="O312">
            <v>120</v>
          </cell>
          <cell r="AP312">
            <v>1417</v>
          </cell>
        </row>
        <row r="313">
          <cell r="C313">
            <v>44410</v>
          </cell>
          <cell r="N313">
            <v>479</v>
          </cell>
          <cell r="O313">
            <v>120</v>
          </cell>
          <cell r="AP313">
            <v>1519</v>
          </cell>
        </row>
        <row r="314">
          <cell r="C314">
            <v>44410</v>
          </cell>
          <cell r="N314">
            <v>479</v>
          </cell>
          <cell r="O314">
            <v>120</v>
          </cell>
          <cell r="AP314">
            <v>1226</v>
          </cell>
        </row>
        <row r="315">
          <cell r="C315">
            <v>44410</v>
          </cell>
          <cell r="N315">
            <v>479</v>
          </cell>
          <cell r="O315">
            <v>120</v>
          </cell>
          <cell r="AP315">
            <v>1512</v>
          </cell>
        </row>
        <row r="316">
          <cell r="C316">
            <v>44410</v>
          </cell>
          <cell r="N316">
            <v>479</v>
          </cell>
          <cell r="O316">
            <v>120</v>
          </cell>
          <cell r="AP316">
            <v>1517</v>
          </cell>
        </row>
        <row r="317">
          <cell r="C317">
            <v>44410</v>
          </cell>
          <cell r="N317">
            <v>479</v>
          </cell>
          <cell r="O317">
            <v>120</v>
          </cell>
          <cell r="AP317">
            <v>1224</v>
          </cell>
        </row>
        <row r="318">
          <cell r="C318">
            <v>44410</v>
          </cell>
          <cell r="N318">
            <v>479</v>
          </cell>
          <cell r="O318">
            <v>120</v>
          </cell>
          <cell r="AP318">
            <v>1511</v>
          </cell>
        </row>
        <row r="319">
          <cell r="C319">
            <v>44410</v>
          </cell>
          <cell r="N319">
            <v>479</v>
          </cell>
          <cell r="O319">
            <v>120</v>
          </cell>
          <cell r="AP319">
            <v>1515</v>
          </cell>
        </row>
        <row r="320">
          <cell r="C320">
            <v>44410</v>
          </cell>
          <cell r="N320">
            <v>479</v>
          </cell>
          <cell r="O320">
            <v>120</v>
          </cell>
          <cell r="AP320">
            <v>1223</v>
          </cell>
        </row>
        <row r="321">
          <cell r="C321">
            <v>44410</v>
          </cell>
          <cell r="N321">
            <v>479</v>
          </cell>
          <cell r="O321">
            <v>120</v>
          </cell>
          <cell r="AP321">
            <v>1507</v>
          </cell>
        </row>
        <row r="322">
          <cell r="C322">
            <v>44410</v>
          </cell>
          <cell r="N322">
            <v>479</v>
          </cell>
          <cell r="O322">
            <v>120</v>
          </cell>
          <cell r="AP322">
            <v>1470</v>
          </cell>
        </row>
        <row r="323">
          <cell r="C323">
            <v>44410</v>
          </cell>
          <cell r="N323">
            <v>479</v>
          </cell>
          <cell r="O323">
            <v>120</v>
          </cell>
          <cell r="AP323">
            <v>1185</v>
          </cell>
        </row>
        <row r="324">
          <cell r="C324">
            <v>44410</v>
          </cell>
          <cell r="N324">
            <v>479</v>
          </cell>
          <cell r="O324">
            <v>120</v>
          </cell>
          <cell r="AP324">
            <v>1463</v>
          </cell>
        </row>
        <row r="325">
          <cell r="C325">
            <v>44410</v>
          </cell>
          <cell r="N325">
            <v>479</v>
          </cell>
          <cell r="O325">
            <v>120</v>
          </cell>
          <cell r="AP325">
            <v>1458</v>
          </cell>
        </row>
        <row r="326">
          <cell r="C326">
            <v>44410</v>
          </cell>
          <cell r="N326">
            <v>479</v>
          </cell>
          <cell r="O326">
            <v>120</v>
          </cell>
          <cell r="AP326">
            <v>1174</v>
          </cell>
        </row>
        <row r="327">
          <cell r="C327">
            <v>44410</v>
          </cell>
          <cell r="N327">
            <v>479</v>
          </cell>
          <cell r="O327">
            <v>120</v>
          </cell>
          <cell r="AP327">
            <v>1450</v>
          </cell>
        </row>
        <row r="328">
          <cell r="C328">
            <v>44410</v>
          </cell>
          <cell r="N328">
            <v>479</v>
          </cell>
          <cell r="O328">
            <v>120</v>
          </cell>
          <cell r="AP328">
            <v>1461</v>
          </cell>
        </row>
        <row r="329">
          <cell r="C329">
            <v>44410</v>
          </cell>
          <cell r="N329">
            <v>479</v>
          </cell>
          <cell r="O329">
            <v>120</v>
          </cell>
          <cell r="AP329">
            <v>1176</v>
          </cell>
        </row>
        <row r="330">
          <cell r="C330">
            <v>44410</v>
          </cell>
          <cell r="N330">
            <v>479</v>
          </cell>
          <cell r="O330">
            <v>120</v>
          </cell>
          <cell r="AP330">
            <v>1453</v>
          </cell>
        </row>
        <row r="331">
          <cell r="C331">
            <v>44410</v>
          </cell>
          <cell r="N331">
            <v>479</v>
          </cell>
          <cell r="O331">
            <v>120</v>
          </cell>
          <cell r="AP331">
            <v>1489</v>
          </cell>
        </row>
        <row r="332">
          <cell r="C332">
            <v>44410</v>
          </cell>
          <cell r="N332">
            <v>479</v>
          </cell>
          <cell r="O332">
            <v>120</v>
          </cell>
          <cell r="AP332">
            <v>1199</v>
          </cell>
        </row>
        <row r="333">
          <cell r="C333">
            <v>44410</v>
          </cell>
          <cell r="N333">
            <v>479</v>
          </cell>
          <cell r="O333">
            <v>120</v>
          </cell>
          <cell r="AP333">
            <v>1481</v>
          </cell>
        </row>
        <row r="334">
          <cell r="C334">
            <v>44410</v>
          </cell>
          <cell r="N334">
            <v>479</v>
          </cell>
          <cell r="O334">
            <v>120</v>
          </cell>
          <cell r="AP334">
            <v>1505</v>
          </cell>
        </row>
        <row r="335">
          <cell r="C335">
            <v>44410</v>
          </cell>
          <cell r="N335">
            <v>479</v>
          </cell>
          <cell r="O335">
            <v>120</v>
          </cell>
          <cell r="AP335">
            <v>1213</v>
          </cell>
        </row>
        <row r="336">
          <cell r="C336">
            <v>44410</v>
          </cell>
          <cell r="N336">
            <v>479</v>
          </cell>
          <cell r="O336">
            <v>120</v>
          </cell>
          <cell r="AP336">
            <v>1498</v>
          </cell>
        </row>
        <row r="337">
          <cell r="C337">
            <v>44410</v>
          </cell>
          <cell r="N337">
            <v>479</v>
          </cell>
          <cell r="O337">
            <v>120</v>
          </cell>
          <cell r="AP337">
            <v>1446</v>
          </cell>
        </row>
        <row r="338">
          <cell r="C338">
            <v>44410</v>
          </cell>
          <cell r="N338">
            <v>479</v>
          </cell>
          <cell r="O338">
            <v>120</v>
          </cell>
          <cell r="AP338">
            <v>1166</v>
          </cell>
        </row>
        <row r="339">
          <cell r="C339">
            <v>44410</v>
          </cell>
          <cell r="N339">
            <v>479</v>
          </cell>
          <cell r="O339">
            <v>120</v>
          </cell>
          <cell r="AP339">
            <v>1443</v>
          </cell>
        </row>
        <row r="340">
          <cell r="C340">
            <v>44410</v>
          </cell>
          <cell r="N340">
            <v>479</v>
          </cell>
          <cell r="O340">
            <v>120</v>
          </cell>
          <cell r="AP340">
            <v>1444</v>
          </cell>
        </row>
        <row r="341">
          <cell r="C341">
            <v>44410</v>
          </cell>
          <cell r="N341">
            <v>479</v>
          </cell>
          <cell r="O341">
            <v>120</v>
          </cell>
          <cell r="AP341">
            <v>1162</v>
          </cell>
        </row>
        <row r="342">
          <cell r="C342">
            <v>44410</v>
          </cell>
          <cell r="N342">
            <v>479</v>
          </cell>
          <cell r="O342">
            <v>120</v>
          </cell>
          <cell r="AP342">
            <v>1434</v>
          </cell>
        </row>
        <row r="343">
          <cell r="C343">
            <v>44410</v>
          </cell>
          <cell r="N343">
            <v>479</v>
          </cell>
          <cell r="O343">
            <v>120</v>
          </cell>
          <cell r="AP343">
            <v>1449</v>
          </cell>
        </row>
        <row r="344">
          <cell r="C344">
            <v>44410</v>
          </cell>
          <cell r="N344">
            <v>479</v>
          </cell>
          <cell r="O344">
            <v>120</v>
          </cell>
          <cell r="AP344">
            <v>1167</v>
          </cell>
        </row>
        <row r="345">
          <cell r="C345">
            <v>44410</v>
          </cell>
          <cell r="N345">
            <v>479</v>
          </cell>
          <cell r="O345">
            <v>120</v>
          </cell>
          <cell r="AP345">
            <v>1442</v>
          </cell>
        </row>
        <row r="346">
          <cell r="C346">
            <v>44410</v>
          </cell>
          <cell r="N346">
            <v>479</v>
          </cell>
          <cell r="O346">
            <v>120</v>
          </cell>
          <cell r="AP346">
            <v>1463</v>
          </cell>
        </row>
        <row r="347">
          <cell r="C347">
            <v>44410</v>
          </cell>
          <cell r="N347">
            <v>479</v>
          </cell>
          <cell r="O347">
            <v>120</v>
          </cell>
          <cell r="AP347">
            <v>1181</v>
          </cell>
        </row>
        <row r="348">
          <cell r="C348">
            <v>44410</v>
          </cell>
          <cell r="N348">
            <v>479</v>
          </cell>
          <cell r="O348">
            <v>120</v>
          </cell>
          <cell r="AP348">
            <v>1457</v>
          </cell>
        </row>
        <row r="349">
          <cell r="C349">
            <v>44410</v>
          </cell>
          <cell r="N349">
            <v>479</v>
          </cell>
          <cell r="O349">
            <v>120</v>
          </cell>
          <cell r="AP349">
            <v>1457</v>
          </cell>
        </row>
        <row r="350">
          <cell r="C350">
            <v>44410</v>
          </cell>
          <cell r="N350">
            <v>479</v>
          </cell>
          <cell r="O350">
            <v>120</v>
          </cell>
          <cell r="AP350">
            <v>1175</v>
          </cell>
        </row>
        <row r="351">
          <cell r="C351">
            <v>44410</v>
          </cell>
          <cell r="N351">
            <v>479</v>
          </cell>
          <cell r="O351">
            <v>120</v>
          </cell>
          <cell r="AP351">
            <v>1451</v>
          </cell>
        </row>
        <row r="352">
          <cell r="C352">
            <v>44410</v>
          </cell>
          <cell r="N352">
            <v>479</v>
          </cell>
          <cell r="O352">
            <v>120</v>
          </cell>
          <cell r="AP352">
            <v>1499</v>
          </cell>
        </row>
        <row r="353">
          <cell r="C353">
            <v>44410</v>
          </cell>
          <cell r="N353">
            <v>479</v>
          </cell>
          <cell r="O353">
            <v>120</v>
          </cell>
          <cell r="AP353">
            <v>1208</v>
          </cell>
        </row>
        <row r="354">
          <cell r="C354">
            <v>44410</v>
          </cell>
          <cell r="N354">
            <v>479</v>
          </cell>
          <cell r="O354">
            <v>120</v>
          </cell>
          <cell r="AP354">
            <v>1492</v>
          </cell>
        </row>
        <row r="355">
          <cell r="C355">
            <v>44410</v>
          </cell>
          <cell r="N355">
            <v>479</v>
          </cell>
          <cell r="O355">
            <v>120</v>
          </cell>
          <cell r="AP355">
            <v>1530</v>
          </cell>
        </row>
        <row r="356">
          <cell r="C356">
            <v>44410</v>
          </cell>
          <cell r="N356">
            <v>479</v>
          </cell>
          <cell r="O356">
            <v>120</v>
          </cell>
          <cell r="AP356">
            <v>1233</v>
          </cell>
        </row>
        <row r="357">
          <cell r="C357">
            <v>44410</v>
          </cell>
          <cell r="N357">
            <v>479</v>
          </cell>
          <cell r="O357">
            <v>120</v>
          </cell>
          <cell r="AP357">
            <v>1522</v>
          </cell>
        </row>
        <row r="358">
          <cell r="C358">
            <v>44410</v>
          </cell>
          <cell r="N358">
            <v>479</v>
          </cell>
          <cell r="O358">
            <v>120</v>
          </cell>
          <cell r="AP358">
            <v>1458</v>
          </cell>
        </row>
        <row r="359">
          <cell r="C359">
            <v>44410</v>
          </cell>
          <cell r="N359">
            <v>479</v>
          </cell>
          <cell r="O359">
            <v>120</v>
          </cell>
          <cell r="AP359">
            <v>1174</v>
          </cell>
        </row>
        <row r="360">
          <cell r="C360">
            <v>44410</v>
          </cell>
          <cell r="N360">
            <v>479</v>
          </cell>
          <cell r="O360">
            <v>120</v>
          </cell>
          <cell r="AP360">
            <v>1452</v>
          </cell>
        </row>
        <row r="361">
          <cell r="C361">
            <v>44410</v>
          </cell>
          <cell r="N361">
            <v>476</v>
          </cell>
          <cell r="O361">
            <v>120</v>
          </cell>
          <cell r="AP361">
            <v>1481</v>
          </cell>
        </row>
        <row r="362">
          <cell r="C362">
            <v>44410</v>
          </cell>
          <cell r="N362">
            <v>476</v>
          </cell>
          <cell r="O362">
            <v>120</v>
          </cell>
          <cell r="AP362">
            <v>1095</v>
          </cell>
        </row>
        <row r="363">
          <cell r="C363">
            <v>44410</v>
          </cell>
          <cell r="N363">
            <v>476</v>
          </cell>
          <cell r="O363">
            <v>120</v>
          </cell>
          <cell r="AP363">
            <v>1475</v>
          </cell>
        </row>
        <row r="364">
          <cell r="C364">
            <v>44410</v>
          </cell>
          <cell r="N364">
            <v>476</v>
          </cell>
          <cell r="O364">
            <v>120</v>
          </cell>
          <cell r="AP364">
            <v>1510</v>
          </cell>
        </row>
        <row r="365">
          <cell r="C365">
            <v>44410</v>
          </cell>
          <cell r="N365">
            <v>476</v>
          </cell>
          <cell r="O365">
            <v>120</v>
          </cell>
          <cell r="AP365">
            <v>1117</v>
          </cell>
        </row>
        <row r="366">
          <cell r="C366">
            <v>44410</v>
          </cell>
          <cell r="N366">
            <v>476</v>
          </cell>
          <cell r="O366">
            <v>120</v>
          </cell>
          <cell r="AP366">
            <v>1502</v>
          </cell>
        </row>
        <row r="367">
          <cell r="C367">
            <v>44410</v>
          </cell>
          <cell r="N367">
            <v>476</v>
          </cell>
          <cell r="O367">
            <v>120</v>
          </cell>
          <cell r="AP367">
            <v>1503</v>
          </cell>
        </row>
        <row r="368">
          <cell r="C368">
            <v>44410</v>
          </cell>
          <cell r="N368">
            <v>476</v>
          </cell>
          <cell r="O368">
            <v>120</v>
          </cell>
          <cell r="AP368">
            <v>1113</v>
          </cell>
        </row>
        <row r="369">
          <cell r="C369">
            <v>44410</v>
          </cell>
          <cell r="N369">
            <v>476</v>
          </cell>
          <cell r="O369">
            <v>120</v>
          </cell>
          <cell r="AP369">
            <v>1498</v>
          </cell>
        </row>
        <row r="370">
          <cell r="C370">
            <v>44410</v>
          </cell>
          <cell r="N370">
            <v>476</v>
          </cell>
          <cell r="O370">
            <v>120</v>
          </cell>
          <cell r="AP370">
            <v>1503</v>
          </cell>
        </row>
        <row r="371">
          <cell r="C371">
            <v>44410</v>
          </cell>
          <cell r="N371">
            <v>476</v>
          </cell>
          <cell r="O371">
            <v>120</v>
          </cell>
          <cell r="AP371">
            <v>1111</v>
          </cell>
        </row>
        <row r="372">
          <cell r="C372">
            <v>44410</v>
          </cell>
          <cell r="N372">
            <v>476</v>
          </cell>
          <cell r="O372">
            <v>120</v>
          </cell>
          <cell r="AP372">
            <v>1496</v>
          </cell>
        </row>
        <row r="373">
          <cell r="C373">
            <v>44410</v>
          </cell>
          <cell r="N373">
            <v>476</v>
          </cell>
          <cell r="O373">
            <v>120</v>
          </cell>
          <cell r="AP373">
            <v>1586</v>
          </cell>
        </row>
        <row r="374">
          <cell r="C374">
            <v>44410</v>
          </cell>
          <cell r="N374">
            <v>476</v>
          </cell>
          <cell r="O374">
            <v>120</v>
          </cell>
          <cell r="AP374">
            <v>1170</v>
          </cell>
        </row>
        <row r="375">
          <cell r="C375">
            <v>44410</v>
          </cell>
          <cell r="N375">
            <v>476</v>
          </cell>
          <cell r="O375">
            <v>120</v>
          </cell>
          <cell r="AP375">
            <v>1576</v>
          </cell>
        </row>
        <row r="376">
          <cell r="C376">
            <v>44410</v>
          </cell>
          <cell r="N376">
            <v>476</v>
          </cell>
          <cell r="O376">
            <v>120</v>
          </cell>
          <cell r="AP376">
            <v>1518</v>
          </cell>
        </row>
        <row r="377">
          <cell r="C377">
            <v>44410</v>
          </cell>
          <cell r="N377">
            <v>476</v>
          </cell>
          <cell r="O377">
            <v>120</v>
          </cell>
          <cell r="AP377">
            <v>1122</v>
          </cell>
        </row>
        <row r="378">
          <cell r="C378">
            <v>44410</v>
          </cell>
          <cell r="N378">
            <v>476</v>
          </cell>
          <cell r="O378">
            <v>120</v>
          </cell>
          <cell r="AP378">
            <v>1511</v>
          </cell>
        </row>
        <row r="379">
          <cell r="C379">
            <v>44410</v>
          </cell>
          <cell r="N379">
            <v>476</v>
          </cell>
          <cell r="O379">
            <v>120</v>
          </cell>
          <cell r="AP379">
            <v>1495</v>
          </cell>
        </row>
        <row r="380">
          <cell r="C380">
            <v>44410</v>
          </cell>
          <cell r="N380">
            <v>476</v>
          </cell>
          <cell r="O380">
            <v>120</v>
          </cell>
          <cell r="AP380">
            <v>1100</v>
          </cell>
        </row>
        <row r="381">
          <cell r="C381">
            <v>44410</v>
          </cell>
          <cell r="N381">
            <v>476</v>
          </cell>
          <cell r="O381">
            <v>120</v>
          </cell>
          <cell r="AP381">
            <v>1490</v>
          </cell>
        </row>
        <row r="382">
          <cell r="C382">
            <v>44410</v>
          </cell>
          <cell r="N382">
            <v>476</v>
          </cell>
          <cell r="O382">
            <v>120</v>
          </cell>
          <cell r="AP382">
            <v>1488</v>
          </cell>
        </row>
        <row r="383">
          <cell r="C383">
            <v>44410</v>
          </cell>
          <cell r="N383">
            <v>476</v>
          </cell>
          <cell r="O383">
            <v>120</v>
          </cell>
          <cell r="AP383">
            <v>1099</v>
          </cell>
        </row>
        <row r="384">
          <cell r="C384">
            <v>44410</v>
          </cell>
          <cell r="N384">
            <v>476</v>
          </cell>
          <cell r="O384">
            <v>120</v>
          </cell>
          <cell r="AP384">
            <v>1481</v>
          </cell>
        </row>
        <row r="385">
          <cell r="C385">
            <v>44410</v>
          </cell>
          <cell r="N385">
            <v>476</v>
          </cell>
          <cell r="O385">
            <v>120</v>
          </cell>
          <cell r="AP385">
            <v>1495</v>
          </cell>
        </row>
        <row r="386">
          <cell r="C386">
            <v>44410</v>
          </cell>
          <cell r="N386">
            <v>476</v>
          </cell>
          <cell r="O386">
            <v>120</v>
          </cell>
          <cell r="AP386">
            <v>1104</v>
          </cell>
        </row>
        <row r="387">
          <cell r="C387">
            <v>44410</v>
          </cell>
          <cell r="N387">
            <v>476</v>
          </cell>
          <cell r="O387">
            <v>120</v>
          </cell>
          <cell r="AP387">
            <v>1488</v>
          </cell>
        </row>
        <row r="388">
          <cell r="C388">
            <v>44410</v>
          </cell>
          <cell r="N388">
            <v>476</v>
          </cell>
          <cell r="O388">
            <v>120</v>
          </cell>
          <cell r="AP388">
            <v>1518</v>
          </cell>
        </row>
        <row r="389">
          <cell r="C389">
            <v>44410</v>
          </cell>
          <cell r="N389">
            <v>476</v>
          </cell>
          <cell r="O389">
            <v>120</v>
          </cell>
          <cell r="AP389">
            <v>1123</v>
          </cell>
        </row>
        <row r="390">
          <cell r="C390">
            <v>44410</v>
          </cell>
          <cell r="N390">
            <v>476</v>
          </cell>
          <cell r="O390">
            <v>120</v>
          </cell>
          <cell r="AP390">
            <v>1509</v>
          </cell>
        </row>
        <row r="391">
          <cell r="C391">
            <v>44410</v>
          </cell>
          <cell r="N391">
            <v>476</v>
          </cell>
          <cell r="O391">
            <v>120</v>
          </cell>
          <cell r="AP391">
            <v>1466</v>
          </cell>
        </row>
        <row r="392">
          <cell r="C392">
            <v>44410</v>
          </cell>
          <cell r="N392">
            <v>476</v>
          </cell>
          <cell r="O392">
            <v>120</v>
          </cell>
          <cell r="AP392">
            <v>1086</v>
          </cell>
        </row>
        <row r="393">
          <cell r="C393">
            <v>44410</v>
          </cell>
          <cell r="N393">
            <v>476</v>
          </cell>
          <cell r="O393">
            <v>120</v>
          </cell>
          <cell r="AP393">
            <v>1460</v>
          </cell>
        </row>
        <row r="394">
          <cell r="C394">
            <v>44410</v>
          </cell>
          <cell r="N394">
            <v>476</v>
          </cell>
          <cell r="O394">
            <v>120</v>
          </cell>
          <cell r="AP394">
            <v>1493</v>
          </cell>
        </row>
        <row r="395">
          <cell r="C395">
            <v>44410</v>
          </cell>
          <cell r="N395">
            <v>476</v>
          </cell>
          <cell r="O395">
            <v>120</v>
          </cell>
          <cell r="AP395">
            <v>1103</v>
          </cell>
        </row>
        <row r="396">
          <cell r="C396">
            <v>44410</v>
          </cell>
          <cell r="N396">
            <v>476</v>
          </cell>
          <cell r="O396">
            <v>120</v>
          </cell>
          <cell r="AP396">
            <v>1482</v>
          </cell>
        </row>
        <row r="397">
          <cell r="C397">
            <v>44410</v>
          </cell>
          <cell r="N397">
            <v>476</v>
          </cell>
          <cell r="O397">
            <v>120</v>
          </cell>
          <cell r="AP397">
            <v>1502</v>
          </cell>
        </row>
        <row r="398">
          <cell r="C398">
            <v>44410</v>
          </cell>
          <cell r="N398">
            <v>476</v>
          </cell>
          <cell r="O398">
            <v>120</v>
          </cell>
          <cell r="AP398">
            <v>1108</v>
          </cell>
        </row>
        <row r="399">
          <cell r="C399">
            <v>44410</v>
          </cell>
          <cell r="N399">
            <v>476</v>
          </cell>
          <cell r="O399">
            <v>120</v>
          </cell>
          <cell r="AP399">
            <v>1490</v>
          </cell>
        </row>
        <row r="400">
          <cell r="C400">
            <v>44410</v>
          </cell>
          <cell r="N400">
            <v>476</v>
          </cell>
          <cell r="O400">
            <v>120</v>
          </cell>
          <cell r="AP400">
            <v>1495</v>
          </cell>
        </row>
        <row r="401">
          <cell r="C401">
            <v>44410</v>
          </cell>
          <cell r="N401">
            <v>476</v>
          </cell>
          <cell r="O401">
            <v>120</v>
          </cell>
          <cell r="AP401">
            <v>1105</v>
          </cell>
        </row>
        <row r="402">
          <cell r="C402">
            <v>44410</v>
          </cell>
          <cell r="N402">
            <v>476</v>
          </cell>
          <cell r="O402">
            <v>120</v>
          </cell>
          <cell r="AP402">
            <v>1485</v>
          </cell>
        </row>
        <row r="403">
          <cell r="C403">
            <v>44410</v>
          </cell>
          <cell r="N403">
            <v>476</v>
          </cell>
          <cell r="O403">
            <v>120</v>
          </cell>
          <cell r="AP403">
            <v>1494</v>
          </cell>
        </row>
        <row r="404">
          <cell r="C404">
            <v>44410</v>
          </cell>
          <cell r="N404">
            <v>476</v>
          </cell>
          <cell r="O404">
            <v>120</v>
          </cell>
          <cell r="AP404">
            <v>1105</v>
          </cell>
        </row>
        <row r="405">
          <cell r="C405">
            <v>44410</v>
          </cell>
          <cell r="N405">
            <v>476</v>
          </cell>
          <cell r="O405">
            <v>120</v>
          </cell>
          <cell r="AP405">
            <v>1484</v>
          </cell>
        </row>
        <row r="406">
          <cell r="C406">
            <v>44410</v>
          </cell>
          <cell r="N406">
            <v>476</v>
          </cell>
          <cell r="O406">
            <v>120</v>
          </cell>
          <cell r="AP406">
            <v>1493</v>
          </cell>
        </row>
        <row r="407">
          <cell r="C407">
            <v>44410</v>
          </cell>
          <cell r="N407">
            <v>476</v>
          </cell>
          <cell r="O407">
            <v>120</v>
          </cell>
          <cell r="AP407">
            <v>1104</v>
          </cell>
        </row>
        <row r="408">
          <cell r="C408">
            <v>44410</v>
          </cell>
          <cell r="N408">
            <v>476</v>
          </cell>
          <cell r="O408">
            <v>120</v>
          </cell>
          <cell r="AP408">
            <v>1486</v>
          </cell>
        </row>
        <row r="409">
          <cell r="C409">
            <v>44410</v>
          </cell>
          <cell r="N409">
            <v>473</v>
          </cell>
          <cell r="O409">
            <v>120</v>
          </cell>
          <cell r="AP409">
            <v>719</v>
          </cell>
        </row>
        <row r="410">
          <cell r="C410">
            <v>44410</v>
          </cell>
          <cell r="N410">
            <v>473</v>
          </cell>
          <cell r="O410">
            <v>120</v>
          </cell>
          <cell r="AP410">
            <v>722</v>
          </cell>
        </row>
        <row r="411">
          <cell r="C411">
            <v>44410</v>
          </cell>
          <cell r="N411">
            <v>473</v>
          </cell>
          <cell r="O411">
            <v>120</v>
          </cell>
          <cell r="AP411">
            <v>1183</v>
          </cell>
        </row>
        <row r="412">
          <cell r="C412">
            <v>44410</v>
          </cell>
          <cell r="N412">
            <v>473</v>
          </cell>
          <cell r="O412">
            <v>120</v>
          </cell>
          <cell r="AP412">
            <v>721</v>
          </cell>
        </row>
        <row r="413">
          <cell r="C413">
            <v>44410</v>
          </cell>
          <cell r="N413">
            <v>473</v>
          </cell>
          <cell r="O413">
            <v>120</v>
          </cell>
          <cell r="AP413">
            <v>714</v>
          </cell>
        </row>
        <row r="414">
          <cell r="C414">
            <v>44410</v>
          </cell>
          <cell r="N414">
            <v>473</v>
          </cell>
          <cell r="O414">
            <v>120</v>
          </cell>
          <cell r="AP414">
            <v>773</v>
          </cell>
        </row>
        <row r="415">
          <cell r="C415">
            <v>44410</v>
          </cell>
          <cell r="N415">
            <v>473</v>
          </cell>
          <cell r="O415">
            <v>120</v>
          </cell>
          <cell r="AP415">
            <v>776</v>
          </cell>
        </row>
        <row r="416">
          <cell r="C416">
            <v>44410</v>
          </cell>
          <cell r="N416">
            <v>473</v>
          </cell>
          <cell r="O416">
            <v>120</v>
          </cell>
          <cell r="AP416">
            <v>1267</v>
          </cell>
        </row>
        <row r="417">
          <cell r="C417">
            <v>44410</v>
          </cell>
          <cell r="N417">
            <v>473</v>
          </cell>
          <cell r="O417">
            <v>120</v>
          </cell>
          <cell r="AP417">
            <v>775</v>
          </cell>
        </row>
        <row r="418">
          <cell r="C418">
            <v>44410</v>
          </cell>
          <cell r="N418">
            <v>473</v>
          </cell>
          <cell r="O418">
            <v>120</v>
          </cell>
          <cell r="AP418">
            <v>765</v>
          </cell>
        </row>
        <row r="419">
          <cell r="C419">
            <v>44410</v>
          </cell>
          <cell r="N419">
            <v>473</v>
          </cell>
          <cell r="O419">
            <v>120</v>
          </cell>
          <cell r="AP419">
            <v>774</v>
          </cell>
        </row>
        <row r="420">
          <cell r="C420">
            <v>44410</v>
          </cell>
          <cell r="N420">
            <v>473</v>
          </cell>
          <cell r="O420">
            <v>120</v>
          </cell>
          <cell r="AP420">
            <v>778</v>
          </cell>
        </row>
        <row r="421">
          <cell r="C421">
            <v>44410</v>
          </cell>
          <cell r="N421">
            <v>473</v>
          </cell>
          <cell r="O421">
            <v>120</v>
          </cell>
          <cell r="AP421">
            <v>1273</v>
          </cell>
        </row>
        <row r="422">
          <cell r="C422">
            <v>44410</v>
          </cell>
          <cell r="N422">
            <v>473</v>
          </cell>
          <cell r="O422">
            <v>120</v>
          </cell>
          <cell r="AP422">
            <v>778</v>
          </cell>
        </row>
        <row r="423">
          <cell r="C423">
            <v>44410</v>
          </cell>
          <cell r="N423">
            <v>473</v>
          </cell>
          <cell r="O423">
            <v>120</v>
          </cell>
          <cell r="AP423">
            <v>769</v>
          </cell>
        </row>
        <row r="424">
          <cell r="C424">
            <v>44410</v>
          </cell>
          <cell r="N424">
            <v>473</v>
          </cell>
          <cell r="O424">
            <v>120</v>
          </cell>
          <cell r="AP424">
            <v>765</v>
          </cell>
        </row>
        <row r="425">
          <cell r="C425">
            <v>44410</v>
          </cell>
          <cell r="N425">
            <v>473</v>
          </cell>
          <cell r="O425">
            <v>120</v>
          </cell>
          <cell r="AP425">
            <v>767</v>
          </cell>
        </row>
        <row r="426">
          <cell r="C426">
            <v>44410</v>
          </cell>
          <cell r="N426">
            <v>473</v>
          </cell>
          <cell r="O426">
            <v>120</v>
          </cell>
          <cell r="AP426">
            <v>1254</v>
          </cell>
        </row>
        <row r="427">
          <cell r="C427">
            <v>44410</v>
          </cell>
          <cell r="N427">
            <v>473</v>
          </cell>
          <cell r="O427">
            <v>120</v>
          </cell>
          <cell r="AP427">
            <v>766</v>
          </cell>
        </row>
        <row r="428">
          <cell r="C428">
            <v>44410</v>
          </cell>
          <cell r="N428">
            <v>473</v>
          </cell>
          <cell r="O428">
            <v>120</v>
          </cell>
          <cell r="AP428">
            <v>757</v>
          </cell>
        </row>
        <row r="429">
          <cell r="C429">
            <v>44410</v>
          </cell>
          <cell r="N429">
            <v>473</v>
          </cell>
          <cell r="O429">
            <v>120</v>
          </cell>
          <cell r="AP429">
            <v>718</v>
          </cell>
        </row>
        <row r="430">
          <cell r="C430">
            <v>44410</v>
          </cell>
          <cell r="N430">
            <v>473</v>
          </cell>
          <cell r="O430">
            <v>120</v>
          </cell>
          <cell r="AP430">
            <v>721</v>
          </cell>
        </row>
        <row r="431">
          <cell r="C431">
            <v>44410</v>
          </cell>
          <cell r="N431">
            <v>473</v>
          </cell>
          <cell r="O431">
            <v>120</v>
          </cell>
          <cell r="AP431">
            <v>1176</v>
          </cell>
        </row>
        <row r="432">
          <cell r="C432">
            <v>44410</v>
          </cell>
          <cell r="N432">
            <v>473</v>
          </cell>
          <cell r="O432">
            <v>120</v>
          </cell>
          <cell r="AP432">
            <v>711</v>
          </cell>
        </row>
        <row r="433">
          <cell r="C433">
            <v>44410</v>
          </cell>
          <cell r="N433">
            <v>473</v>
          </cell>
          <cell r="O433">
            <v>120</v>
          </cell>
          <cell r="AP433">
            <v>719</v>
          </cell>
        </row>
        <row r="434">
          <cell r="C434">
            <v>44410</v>
          </cell>
          <cell r="N434">
            <v>473</v>
          </cell>
          <cell r="O434">
            <v>120</v>
          </cell>
          <cell r="AP434">
            <v>726</v>
          </cell>
        </row>
        <row r="435">
          <cell r="C435">
            <v>44410</v>
          </cell>
          <cell r="N435">
            <v>473</v>
          </cell>
          <cell r="O435">
            <v>120</v>
          </cell>
          <cell r="AP435">
            <v>728</v>
          </cell>
        </row>
        <row r="436">
          <cell r="C436">
            <v>44410</v>
          </cell>
          <cell r="N436">
            <v>473</v>
          </cell>
          <cell r="O436">
            <v>120</v>
          </cell>
          <cell r="AP436">
            <v>1189</v>
          </cell>
        </row>
        <row r="437">
          <cell r="C437">
            <v>44410</v>
          </cell>
          <cell r="N437">
            <v>473</v>
          </cell>
          <cell r="O437">
            <v>120</v>
          </cell>
          <cell r="AP437">
            <v>727</v>
          </cell>
        </row>
        <row r="438">
          <cell r="C438">
            <v>44410</v>
          </cell>
          <cell r="N438">
            <v>473</v>
          </cell>
          <cell r="O438">
            <v>120</v>
          </cell>
          <cell r="AP438">
            <v>718</v>
          </cell>
        </row>
        <row r="439">
          <cell r="C439">
            <v>44410</v>
          </cell>
          <cell r="N439">
            <v>473</v>
          </cell>
          <cell r="O439">
            <v>120</v>
          </cell>
          <cell r="AP439">
            <v>725</v>
          </cell>
        </row>
        <row r="440">
          <cell r="C440">
            <v>44410</v>
          </cell>
          <cell r="N440">
            <v>473</v>
          </cell>
          <cell r="O440">
            <v>120</v>
          </cell>
          <cell r="AP440">
            <v>727</v>
          </cell>
        </row>
        <row r="441">
          <cell r="C441">
            <v>44410</v>
          </cell>
          <cell r="N441">
            <v>473</v>
          </cell>
          <cell r="O441">
            <v>120</v>
          </cell>
          <cell r="AP441">
            <v>1186</v>
          </cell>
        </row>
        <row r="442">
          <cell r="C442">
            <v>44410</v>
          </cell>
          <cell r="N442">
            <v>473</v>
          </cell>
          <cell r="O442">
            <v>120</v>
          </cell>
          <cell r="AP442">
            <v>716</v>
          </cell>
        </row>
        <row r="443">
          <cell r="C443">
            <v>44410</v>
          </cell>
          <cell r="N443">
            <v>473</v>
          </cell>
          <cell r="O443">
            <v>120</v>
          </cell>
          <cell r="AP443">
            <v>725</v>
          </cell>
        </row>
        <row r="444">
          <cell r="C444">
            <v>44410</v>
          </cell>
          <cell r="N444">
            <v>473</v>
          </cell>
          <cell r="O444">
            <v>120</v>
          </cell>
          <cell r="AP444">
            <v>727</v>
          </cell>
        </row>
        <row r="445">
          <cell r="C445">
            <v>44410</v>
          </cell>
          <cell r="N445">
            <v>473</v>
          </cell>
          <cell r="O445">
            <v>120</v>
          </cell>
          <cell r="AP445">
            <v>727</v>
          </cell>
        </row>
        <row r="446">
          <cell r="C446">
            <v>44410</v>
          </cell>
          <cell r="N446">
            <v>473</v>
          </cell>
          <cell r="O446">
            <v>120</v>
          </cell>
          <cell r="AP446">
            <v>1187</v>
          </cell>
        </row>
        <row r="447">
          <cell r="C447">
            <v>44410</v>
          </cell>
          <cell r="N447">
            <v>473</v>
          </cell>
          <cell r="O447">
            <v>120</v>
          </cell>
          <cell r="AP447">
            <v>728</v>
          </cell>
        </row>
        <row r="448">
          <cell r="C448">
            <v>44410</v>
          </cell>
          <cell r="N448">
            <v>473</v>
          </cell>
          <cell r="O448">
            <v>120</v>
          </cell>
          <cell r="AP448">
            <v>718</v>
          </cell>
        </row>
        <row r="449">
          <cell r="C449">
            <v>44410</v>
          </cell>
          <cell r="N449">
            <v>473</v>
          </cell>
          <cell r="O449">
            <v>120</v>
          </cell>
          <cell r="AP449">
            <v>669</v>
          </cell>
        </row>
        <row r="450">
          <cell r="C450">
            <v>44410</v>
          </cell>
          <cell r="N450">
            <v>473</v>
          </cell>
          <cell r="O450">
            <v>120</v>
          </cell>
          <cell r="AP450">
            <v>717</v>
          </cell>
        </row>
        <row r="451">
          <cell r="C451">
            <v>44410</v>
          </cell>
          <cell r="N451">
            <v>473</v>
          </cell>
          <cell r="O451">
            <v>120</v>
          </cell>
          <cell r="AP451">
            <v>1024</v>
          </cell>
        </row>
        <row r="452">
          <cell r="C452">
            <v>44410</v>
          </cell>
          <cell r="N452">
            <v>473</v>
          </cell>
          <cell r="O452">
            <v>120</v>
          </cell>
          <cell r="AP452">
            <v>719</v>
          </cell>
        </row>
        <row r="453">
          <cell r="C453">
            <v>44410</v>
          </cell>
          <cell r="N453">
            <v>473</v>
          </cell>
          <cell r="O453">
            <v>120</v>
          </cell>
          <cell r="AP453">
            <v>676</v>
          </cell>
        </row>
        <row r="454">
          <cell r="C454">
            <v>44410</v>
          </cell>
          <cell r="N454">
            <v>473</v>
          </cell>
          <cell r="O454">
            <v>120</v>
          </cell>
          <cell r="AP454">
            <v>725</v>
          </cell>
        </row>
        <row r="455">
          <cell r="C455">
            <v>44410</v>
          </cell>
          <cell r="N455">
            <v>473</v>
          </cell>
          <cell r="O455">
            <v>120</v>
          </cell>
          <cell r="AP455">
            <v>769</v>
          </cell>
        </row>
        <row r="456">
          <cell r="C456">
            <v>44410</v>
          </cell>
          <cell r="N456">
            <v>473</v>
          </cell>
          <cell r="O456">
            <v>120</v>
          </cell>
          <cell r="AP456">
            <v>1100</v>
          </cell>
        </row>
        <row r="457">
          <cell r="C457">
            <v>44410</v>
          </cell>
          <cell r="N457">
            <v>473</v>
          </cell>
          <cell r="O457">
            <v>120</v>
          </cell>
          <cell r="AP457">
            <v>776</v>
          </cell>
        </row>
        <row r="458">
          <cell r="C458">
            <v>44410</v>
          </cell>
          <cell r="N458">
            <v>473</v>
          </cell>
          <cell r="O458">
            <v>120</v>
          </cell>
          <cell r="AP458">
            <v>726</v>
          </cell>
        </row>
        <row r="459">
          <cell r="C459">
            <v>44410</v>
          </cell>
          <cell r="N459">
            <v>473</v>
          </cell>
          <cell r="O459">
            <v>120</v>
          </cell>
          <cell r="AP459">
            <v>718</v>
          </cell>
        </row>
        <row r="460">
          <cell r="C460">
            <v>44410</v>
          </cell>
          <cell r="N460">
            <v>473</v>
          </cell>
          <cell r="O460">
            <v>120</v>
          </cell>
          <cell r="AP460">
            <v>774</v>
          </cell>
        </row>
        <row r="461">
          <cell r="C461">
            <v>44410</v>
          </cell>
          <cell r="N461">
            <v>473</v>
          </cell>
          <cell r="O461">
            <v>120</v>
          </cell>
          <cell r="AP461">
            <v>1106</v>
          </cell>
        </row>
        <row r="462">
          <cell r="C462">
            <v>44410</v>
          </cell>
          <cell r="N462">
            <v>473</v>
          </cell>
          <cell r="O462">
            <v>120</v>
          </cell>
          <cell r="AP462">
            <v>772</v>
          </cell>
        </row>
        <row r="463">
          <cell r="C463">
            <v>44410</v>
          </cell>
          <cell r="N463">
            <v>473</v>
          </cell>
          <cell r="O463">
            <v>120</v>
          </cell>
          <cell r="AP463">
            <v>721</v>
          </cell>
        </row>
        <row r="464">
          <cell r="C464">
            <v>44410</v>
          </cell>
          <cell r="N464">
            <v>473</v>
          </cell>
          <cell r="O464">
            <v>120</v>
          </cell>
          <cell r="AP464">
            <v>724</v>
          </cell>
        </row>
        <row r="465">
          <cell r="C465">
            <v>44410</v>
          </cell>
          <cell r="N465">
            <v>473</v>
          </cell>
          <cell r="O465">
            <v>120</v>
          </cell>
          <cell r="AP465">
            <v>771</v>
          </cell>
        </row>
        <row r="466">
          <cell r="C466">
            <v>44410</v>
          </cell>
          <cell r="N466">
            <v>473</v>
          </cell>
          <cell r="O466">
            <v>120</v>
          </cell>
          <cell r="AP466">
            <v>1101</v>
          </cell>
        </row>
        <row r="467">
          <cell r="C467">
            <v>44410</v>
          </cell>
          <cell r="N467">
            <v>473</v>
          </cell>
          <cell r="O467">
            <v>120</v>
          </cell>
          <cell r="AP467">
            <v>770</v>
          </cell>
        </row>
        <row r="468">
          <cell r="C468">
            <v>44410</v>
          </cell>
          <cell r="N468">
            <v>473</v>
          </cell>
          <cell r="O468">
            <v>120</v>
          </cell>
          <cell r="AP468">
            <v>719</v>
          </cell>
        </row>
        <row r="469">
          <cell r="C469">
            <v>44410</v>
          </cell>
          <cell r="N469">
            <v>473</v>
          </cell>
          <cell r="O469">
            <v>120</v>
          </cell>
          <cell r="AP469">
            <v>725</v>
          </cell>
        </row>
        <row r="470">
          <cell r="C470">
            <v>44410</v>
          </cell>
          <cell r="N470">
            <v>473</v>
          </cell>
          <cell r="O470">
            <v>120</v>
          </cell>
          <cell r="AP470">
            <v>772</v>
          </cell>
        </row>
        <row r="471">
          <cell r="C471">
            <v>44410</v>
          </cell>
          <cell r="N471">
            <v>473</v>
          </cell>
          <cell r="O471">
            <v>120</v>
          </cell>
          <cell r="AP471">
            <v>1100</v>
          </cell>
        </row>
        <row r="472">
          <cell r="C472">
            <v>44410</v>
          </cell>
          <cell r="N472">
            <v>473</v>
          </cell>
          <cell r="O472">
            <v>120</v>
          </cell>
          <cell r="AP472">
            <v>771</v>
          </cell>
        </row>
        <row r="473">
          <cell r="C473">
            <v>44410</v>
          </cell>
          <cell r="N473">
            <v>473</v>
          </cell>
          <cell r="O473">
            <v>120</v>
          </cell>
          <cell r="AP473">
            <v>720</v>
          </cell>
        </row>
        <row r="474">
          <cell r="C474">
            <v>44410</v>
          </cell>
          <cell r="N474">
            <v>473</v>
          </cell>
          <cell r="O474">
            <v>120</v>
          </cell>
          <cell r="AP474">
            <v>729</v>
          </cell>
        </row>
        <row r="475">
          <cell r="C475">
            <v>44410</v>
          </cell>
          <cell r="N475">
            <v>473</v>
          </cell>
          <cell r="O475">
            <v>120</v>
          </cell>
          <cell r="AP475">
            <v>776</v>
          </cell>
        </row>
        <row r="476">
          <cell r="C476">
            <v>44410</v>
          </cell>
          <cell r="N476">
            <v>473</v>
          </cell>
          <cell r="O476">
            <v>120</v>
          </cell>
          <cell r="AP476">
            <v>1107</v>
          </cell>
        </row>
        <row r="477">
          <cell r="C477">
            <v>44410</v>
          </cell>
          <cell r="N477">
            <v>473</v>
          </cell>
          <cell r="O477">
            <v>120</v>
          </cell>
          <cell r="AP477">
            <v>775</v>
          </cell>
        </row>
        <row r="478">
          <cell r="C478">
            <v>44410</v>
          </cell>
          <cell r="N478">
            <v>473</v>
          </cell>
          <cell r="O478">
            <v>120</v>
          </cell>
          <cell r="AP478">
            <v>724</v>
          </cell>
        </row>
        <row r="479">
          <cell r="C479">
            <v>44410</v>
          </cell>
          <cell r="N479">
            <v>473</v>
          </cell>
          <cell r="O479">
            <v>120</v>
          </cell>
          <cell r="AP479">
            <v>728</v>
          </cell>
        </row>
        <row r="480">
          <cell r="C480">
            <v>44410</v>
          </cell>
          <cell r="N480">
            <v>473</v>
          </cell>
          <cell r="O480">
            <v>120</v>
          </cell>
          <cell r="AP480">
            <v>772</v>
          </cell>
        </row>
        <row r="481">
          <cell r="C481">
            <v>44410</v>
          </cell>
          <cell r="N481">
            <v>473</v>
          </cell>
          <cell r="O481">
            <v>120</v>
          </cell>
          <cell r="AP481">
            <v>1105</v>
          </cell>
        </row>
        <row r="482">
          <cell r="C482">
            <v>44410</v>
          </cell>
          <cell r="N482">
            <v>473</v>
          </cell>
          <cell r="O482">
            <v>120</v>
          </cell>
          <cell r="AP482">
            <v>776</v>
          </cell>
        </row>
        <row r="483">
          <cell r="C483">
            <v>44410</v>
          </cell>
          <cell r="N483">
            <v>473</v>
          </cell>
          <cell r="O483">
            <v>120</v>
          </cell>
          <cell r="AP483">
            <v>721</v>
          </cell>
        </row>
        <row r="484">
          <cell r="C484">
            <v>44410</v>
          </cell>
          <cell r="N484">
            <v>473</v>
          </cell>
          <cell r="O484">
            <v>120</v>
          </cell>
          <cell r="AP484">
            <v>738</v>
          </cell>
        </row>
        <row r="485">
          <cell r="C485">
            <v>44410</v>
          </cell>
          <cell r="N485">
            <v>473</v>
          </cell>
          <cell r="O485">
            <v>120</v>
          </cell>
          <cell r="AP485">
            <v>784</v>
          </cell>
        </row>
        <row r="486">
          <cell r="C486">
            <v>44410</v>
          </cell>
          <cell r="N486">
            <v>473</v>
          </cell>
          <cell r="O486">
            <v>120</v>
          </cell>
          <cell r="AP486">
            <v>1120</v>
          </cell>
        </row>
        <row r="487">
          <cell r="C487">
            <v>44410</v>
          </cell>
          <cell r="N487">
            <v>473</v>
          </cell>
          <cell r="O487">
            <v>120</v>
          </cell>
          <cell r="AP487">
            <v>782</v>
          </cell>
        </row>
        <row r="488">
          <cell r="C488">
            <v>44410</v>
          </cell>
          <cell r="N488">
            <v>473</v>
          </cell>
          <cell r="O488">
            <v>120</v>
          </cell>
          <cell r="AP488">
            <v>731</v>
          </cell>
        </row>
        <row r="489">
          <cell r="C489">
            <v>44410</v>
          </cell>
          <cell r="N489">
            <v>474</v>
          </cell>
          <cell r="O489">
            <v>120</v>
          </cell>
          <cell r="AP489">
            <v>744</v>
          </cell>
        </row>
        <row r="490">
          <cell r="C490">
            <v>44410</v>
          </cell>
          <cell r="N490">
            <v>474</v>
          </cell>
          <cell r="O490">
            <v>120</v>
          </cell>
          <cell r="AP490">
            <v>795</v>
          </cell>
        </row>
        <row r="491">
          <cell r="C491">
            <v>44410</v>
          </cell>
          <cell r="N491">
            <v>474</v>
          </cell>
          <cell r="O491">
            <v>120</v>
          </cell>
          <cell r="AP491">
            <v>1141</v>
          </cell>
        </row>
        <row r="492">
          <cell r="C492">
            <v>44410</v>
          </cell>
          <cell r="N492">
            <v>474</v>
          </cell>
          <cell r="O492">
            <v>120</v>
          </cell>
          <cell r="AP492">
            <v>791</v>
          </cell>
        </row>
        <row r="493">
          <cell r="C493">
            <v>44410</v>
          </cell>
          <cell r="N493">
            <v>474</v>
          </cell>
          <cell r="O493">
            <v>120</v>
          </cell>
          <cell r="AP493">
            <v>739</v>
          </cell>
        </row>
        <row r="494">
          <cell r="C494">
            <v>44410</v>
          </cell>
          <cell r="N494">
            <v>474</v>
          </cell>
          <cell r="O494">
            <v>120</v>
          </cell>
          <cell r="AP494">
            <v>745</v>
          </cell>
        </row>
        <row r="495">
          <cell r="C495">
            <v>44410</v>
          </cell>
          <cell r="N495">
            <v>474</v>
          </cell>
          <cell r="O495">
            <v>120</v>
          </cell>
          <cell r="AP495">
            <v>789</v>
          </cell>
        </row>
        <row r="496">
          <cell r="C496">
            <v>44410</v>
          </cell>
          <cell r="N496">
            <v>474</v>
          </cell>
          <cell r="O496">
            <v>120</v>
          </cell>
          <cell r="AP496">
            <v>1139</v>
          </cell>
        </row>
        <row r="497">
          <cell r="C497">
            <v>44410</v>
          </cell>
          <cell r="N497">
            <v>474</v>
          </cell>
          <cell r="O497">
            <v>120</v>
          </cell>
          <cell r="AP497">
            <v>794</v>
          </cell>
        </row>
        <row r="498">
          <cell r="C498">
            <v>44410</v>
          </cell>
          <cell r="N498">
            <v>474</v>
          </cell>
          <cell r="O498">
            <v>120</v>
          </cell>
          <cell r="AP498">
            <v>736</v>
          </cell>
        </row>
        <row r="499">
          <cell r="C499">
            <v>44410</v>
          </cell>
          <cell r="N499">
            <v>474</v>
          </cell>
          <cell r="O499">
            <v>120</v>
          </cell>
          <cell r="AP499">
            <v>754</v>
          </cell>
        </row>
        <row r="500">
          <cell r="C500">
            <v>44410</v>
          </cell>
          <cell r="N500">
            <v>474</v>
          </cell>
          <cell r="O500">
            <v>120</v>
          </cell>
          <cell r="AP500">
            <v>803</v>
          </cell>
        </row>
        <row r="501">
          <cell r="C501">
            <v>44410</v>
          </cell>
          <cell r="N501">
            <v>474</v>
          </cell>
          <cell r="O501">
            <v>120</v>
          </cell>
          <cell r="AP501">
            <v>1158</v>
          </cell>
        </row>
        <row r="502">
          <cell r="C502">
            <v>44410</v>
          </cell>
          <cell r="N502">
            <v>474</v>
          </cell>
          <cell r="O502">
            <v>120</v>
          </cell>
          <cell r="AP502">
            <v>795</v>
          </cell>
        </row>
        <row r="503">
          <cell r="C503">
            <v>44410</v>
          </cell>
          <cell r="N503">
            <v>474</v>
          </cell>
          <cell r="O503">
            <v>120</v>
          </cell>
          <cell r="AP503">
            <v>745</v>
          </cell>
        </row>
        <row r="504">
          <cell r="C504">
            <v>44410</v>
          </cell>
          <cell r="N504">
            <v>474</v>
          </cell>
          <cell r="O504">
            <v>120</v>
          </cell>
          <cell r="AP504">
            <v>749</v>
          </cell>
        </row>
        <row r="505">
          <cell r="C505">
            <v>44410</v>
          </cell>
          <cell r="N505">
            <v>474</v>
          </cell>
          <cell r="O505">
            <v>120</v>
          </cell>
          <cell r="AP505">
            <v>805</v>
          </cell>
        </row>
        <row r="506">
          <cell r="C506">
            <v>44410</v>
          </cell>
          <cell r="N506">
            <v>474</v>
          </cell>
          <cell r="O506">
            <v>120</v>
          </cell>
          <cell r="AP506">
            <v>1158</v>
          </cell>
        </row>
        <row r="507">
          <cell r="C507">
            <v>44410</v>
          </cell>
          <cell r="N507">
            <v>474</v>
          </cell>
          <cell r="O507">
            <v>120</v>
          </cell>
          <cell r="AP507">
            <v>804</v>
          </cell>
        </row>
        <row r="508">
          <cell r="C508">
            <v>44410</v>
          </cell>
          <cell r="N508">
            <v>474</v>
          </cell>
          <cell r="O508">
            <v>120</v>
          </cell>
          <cell r="AP508">
            <v>756</v>
          </cell>
        </row>
        <row r="509">
          <cell r="C509">
            <v>44410</v>
          </cell>
          <cell r="N509">
            <v>474</v>
          </cell>
          <cell r="O509">
            <v>120</v>
          </cell>
          <cell r="AP509">
            <v>770</v>
          </cell>
        </row>
        <row r="510">
          <cell r="C510">
            <v>44410</v>
          </cell>
          <cell r="N510">
            <v>474</v>
          </cell>
          <cell r="O510">
            <v>120</v>
          </cell>
          <cell r="AP510">
            <v>826</v>
          </cell>
        </row>
        <row r="511">
          <cell r="C511">
            <v>44410</v>
          </cell>
          <cell r="N511">
            <v>474</v>
          </cell>
          <cell r="O511">
            <v>120</v>
          </cell>
          <cell r="AP511">
            <v>1192</v>
          </cell>
        </row>
        <row r="512">
          <cell r="C512">
            <v>44410</v>
          </cell>
          <cell r="N512">
            <v>474</v>
          </cell>
          <cell r="O512">
            <v>120</v>
          </cell>
          <cell r="AP512">
            <v>825</v>
          </cell>
        </row>
        <row r="513">
          <cell r="C513">
            <v>44410</v>
          </cell>
          <cell r="N513">
            <v>474</v>
          </cell>
          <cell r="O513">
            <v>120</v>
          </cell>
          <cell r="AP513">
            <v>778</v>
          </cell>
        </row>
        <row r="514">
          <cell r="C514">
            <v>44410</v>
          </cell>
          <cell r="N514">
            <v>474</v>
          </cell>
          <cell r="O514">
            <v>120</v>
          </cell>
          <cell r="AP514">
            <v>768</v>
          </cell>
        </row>
        <row r="515">
          <cell r="C515">
            <v>44410</v>
          </cell>
          <cell r="N515">
            <v>474</v>
          </cell>
          <cell r="O515">
            <v>120</v>
          </cell>
          <cell r="AP515">
            <v>815</v>
          </cell>
        </row>
        <row r="516">
          <cell r="C516">
            <v>44410</v>
          </cell>
          <cell r="N516">
            <v>474</v>
          </cell>
          <cell r="O516">
            <v>120</v>
          </cell>
          <cell r="AP516">
            <v>1176</v>
          </cell>
        </row>
        <row r="517">
          <cell r="C517">
            <v>44410</v>
          </cell>
          <cell r="N517">
            <v>474</v>
          </cell>
          <cell r="O517">
            <v>120</v>
          </cell>
          <cell r="AP517">
            <v>817</v>
          </cell>
        </row>
        <row r="518">
          <cell r="C518">
            <v>44410</v>
          </cell>
          <cell r="N518">
            <v>474</v>
          </cell>
          <cell r="O518">
            <v>120</v>
          </cell>
          <cell r="AP518">
            <v>760</v>
          </cell>
        </row>
        <row r="519">
          <cell r="C519">
            <v>44410</v>
          </cell>
          <cell r="N519">
            <v>474</v>
          </cell>
          <cell r="O519">
            <v>120</v>
          </cell>
          <cell r="AP519">
            <v>702</v>
          </cell>
        </row>
        <row r="520">
          <cell r="C520">
            <v>44410</v>
          </cell>
          <cell r="N520">
            <v>474</v>
          </cell>
          <cell r="O520">
            <v>120</v>
          </cell>
          <cell r="AP520">
            <v>751</v>
          </cell>
        </row>
        <row r="521">
          <cell r="C521">
            <v>44410</v>
          </cell>
          <cell r="N521">
            <v>474</v>
          </cell>
          <cell r="O521">
            <v>120</v>
          </cell>
          <cell r="AP521">
            <v>1085</v>
          </cell>
        </row>
        <row r="522">
          <cell r="C522">
            <v>44410</v>
          </cell>
          <cell r="N522">
            <v>474</v>
          </cell>
          <cell r="O522">
            <v>120</v>
          </cell>
          <cell r="AP522">
            <v>705</v>
          </cell>
        </row>
        <row r="523">
          <cell r="C523">
            <v>44410</v>
          </cell>
          <cell r="N523">
            <v>474</v>
          </cell>
          <cell r="O523">
            <v>120</v>
          </cell>
          <cell r="AP523">
            <v>752</v>
          </cell>
        </row>
        <row r="524">
          <cell r="C524">
            <v>44410</v>
          </cell>
          <cell r="N524">
            <v>474</v>
          </cell>
          <cell r="O524">
            <v>120</v>
          </cell>
          <cell r="AP524">
            <v>723</v>
          </cell>
        </row>
        <row r="525">
          <cell r="C525">
            <v>44410</v>
          </cell>
          <cell r="N525">
            <v>474</v>
          </cell>
          <cell r="O525">
            <v>120</v>
          </cell>
          <cell r="AP525">
            <v>775</v>
          </cell>
        </row>
        <row r="526">
          <cell r="C526">
            <v>44410</v>
          </cell>
          <cell r="N526">
            <v>474</v>
          </cell>
          <cell r="O526">
            <v>120</v>
          </cell>
          <cell r="AP526">
            <v>1117</v>
          </cell>
        </row>
        <row r="527">
          <cell r="C527">
            <v>44410</v>
          </cell>
          <cell r="N527">
            <v>474</v>
          </cell>
          <cell r="O527">
            <v>120</v>
          </cell>
          <cell r="AP527">
            <v>775</v>
          </cell>
        </row>
        <row r="528">
          <cell r="C528">
            <v>44410</v>
          </cell>
          <cell r="N528">
            <v>474</v>
          </cell>
          <cell r="O528">
            <v>120</v>
          </cell>
          <cell r="AP528">
            <v>724</v>
          </cell>
        </row>
        <row r="529">
          <cell r="C529">
            <v>44410</v>
          </cell>
          <cell r="N529">
            <v>478</v>
          </cell>
          <cell r="O529">
            <v>120</v>
          </cell>
          <cell r="AP529">
            <v>727</v>
          </cell>
        </row>
        <row r="530">
          <cell r="C530">
            <v>44410</v>
          </cell>
          <cell r="N530">
            <v>478</v>
          </cell>
          <cell r="O530">
            <v>120</v>
          </cell>
          <cell r="AP530">
            <v>774</v>
          </cell>
        </row>
        <row r="531">
          <cell r="C531">
            <v>44410</v>
          </cell>
          <cell r="N531">
            <v>478</v>
          </cell>
          <cell r="O531">
            <v>120</v>
          </cell>
          <cell r="AP531">
            <v>1111</v>
          </cell>
        </row>
        <row r="532">
          <cell r="C532">
            <v>44410</v>
          </cell>
          <cell r="N532">
            <v>478</v>
          </cell>
          <cell r="O532">
            <v>120</v>
          </cell>
          <cell r="AP532">
            <v>767</v>
          </cell>
        </row>
        <row r="533">
          <cell r="C533">
            <v>44410</v>
          </cell>
          <cell r="N533">
            <v>478</v>
          </cell>
          <cell r="O533">
            <v>120</v>
          </cell>
          <cell r="AP533">
            <v>776</v>
          </cell>
        </row>
        <row r="534">
          <cell r="C534">
            <v>44410</v>
          </cell>
          <cell r="N534">
            <v>478</v>
          </cell>
          <cell r="O534">
            <v>120</v>
          </cell>
          <cell r="AP534">
            <v>728</v>
          </cell>
        </row>
        <row r="535">
          <cell r="C535">
            <v>44410</v>
          </cell>
          <cell r="N535">
            <v>478</v>
          </cell>
          <cell r="O535">
            <v>120</v>
          </cell>
          <cell r="AP535">
            <v>775</v>
          </cell>
        </row>
        <row r="536">
          <cell r="C536">
            <v>44410</v>
          </cell>
          <cell r="N536">
            <v>478</v>
          </cell>
          <cell r="O536">
            <v>120</v>
          </cell>
          <cell r="AP536">
            <v>1110</v>
          </cell>
        </row>
        <row r="537">
          <cell r="C537">
            <v>44410</v>
          </cell>
          <cell r="N537">
            <v>478</v>
          </cell>
          <cell r="O537">
            <v>120</v>
          </cell>
          <cell r="AP537">
            <v>776</v>
          </cell>
        </row>
        <row r="538">
          <cell r="C538">
            <v>44410</v>
          </cell>
          <cell r="N538">
            <v>478</v>
          </cell>
          <cell r="O538">
            <v>120</v>
          </cell>
          <cell r="AP538">
            <v>767</v>
          </cell>
        </row>
        <row r="539">
          <cell r="C539">
            <v>44410</v>
          </cell>
          <cell r="N539">
            <v>478</v>
          </cell>
          <cell r="O539">
            <v>120</v>
          </cell>
          <cell r="AP539">
            <v>749</v>
          </cell>
        </row>
        <row r="540">
          <cell r="C540">
            <v>44410</v>
          </cell>
          <cell r="N540">
            <v>478</v>
          </cell>
          <cell r="O540">
            <v>120</v>
          </cell>
          <cell r="AP540">
            <v>796</v>
          </cell>
        </row>
        <row r="541">
          <cell r="C541">
            <v>44410</v>
          </cell>
          <cell r="N541">
            <v>478</v>
          </cell>
          <cell r="O541">
            <v>120</v>
          </cell>
          <cell r="AP541">
            <v>1141</v>
          </cell>
        </row>
        <row r="542">
          <cell r="C542">
            <v>44410</v>
          </cell>
          <cell r="N542">
            <v>478</v>
          </cell>
          <cell r="O542">
            <v>120</v>
          </cell>
          <cell r="AP542">
            <v>798</v>
          </cell>
        </row>
        <row r="543">
          <cell r="C543">
            <v>44410</v>
          </cell>
          <cell r="N543">
            <v>478</v>
          </cell>
          <cell r="O543">
            <v>120</v>
          </cell>
          <cell r="AP543">
            <v>788</v>
          </cell>
        </row>
        <row r="544">
          <cell r="C544">
            <v>44410</v>
          </cell>
          <cell r="N544">
            <v>478</v>
          </cell>
          <cell r="O544">
            <v>120</v>
          </cell>
          <cell r="AP544">
            <v>753</v>
          </cell>
        </row>
        <row r="545">
          <cell r="C545">
            <v>44410</v>
          </cell>
          <cell r="N545">
            <v>478</v>
          </cell>
          <cell r="O545">
            <v>120</v>
          </cell>
          <cell r="AP545">
            <v>802</v>
          </cell>
        </row>
        <row r="546">
          <cell r="C546">
            <v>44410</v>
          </cell>
          <cell r="N546">
            <v>478</v>
          </cell>
          <cell r="O546">
            <v>120</v>
          </cell>
          <cell r="AP546">
            <v>1145</v>
          </cell>
        </row>
        <row r="547">
          <cell r="C547">
            <v>44410</v>
          </cell>
          <cell r="N547">
            <v>478</v>
          </cell>
          <cell r="O547">
            <v>120</v>
          </cell>
          <cell r="AP547">
            <v>801</v>
          </cell>
        </row>
        <row r="548">
          <cell r="C548">
            <v>44410</v>
          </cell>
          <cell r="N548">
            <v>478</v>
          </cell>
          <cell r="O548">
            <v>120</v>
          </cell>
          <cell r="AP548">
            <v>792</v>
          </cell>
        </row>
        <row r="549">
          <cell r="C549">
            <v>44410</v>
          </cell>
          <cell r="N549">
            <v>485</v>
          </cell>
          <cell r="O549" t="str">
            <v>150</v>
          </cell>
          <cell r="AP549">
            <v>991</v>
          </cell>
        </row>
        <row r="550">
          <cell r="C550">
            <v>44410</v>
          </cell>
          <cell r="N550">
            <v>485</v>
          </cell>
          <cell r="O550" t="str">
            <v>150</v>
          </cell>
          <cell r="AP550">
            <v>996</v>
          </cell>
        </row>
        <row r="551">
          <cell r="C551">
            <v>44410</v>
          </cell>
          <cell r="N551">
            <v>485</v>
          </cell>
          <cell r="O551" t="str">
            <v>150</v>
          </cell>
          <cell r="AP551">
            <v>1540</v>
          </cell>
        </row>
        <row r="552">
          <cell r="C552">
            <v>44410</v>
          </cell>
          <cell r="N552">
            <v>485</v>
          </cell>
          <cell r="O552" t="str">
            <v>150</v>
          </cell>
          <cell r="AP552">
            <v>932</v>
          </cell>
        </row>
        <row r="553">
          <cell r="C553">
            <v>44410</v>
          </cell>
          <cell r="N553">
            <v>485</v>
          </cell>
          <cell r="O553" t="str">
            <v>150</v>
          </cell>
          <cell r="AP553">
            <v>999</v>
          </cell>
        </row>
        <row r="554">
          <cell r="C554">
            <v>44410</v>
          </cell>
          <cell r="N554">
            <v>485</v>
          </cell>
          <cell r="O554" t="str">
            <v>150</v>
          </cell>
          <cell r="AP554">
            <v>1007</v>
          </cell>
        </row>
        <row r="555">
          <cell r="C555">
            <v>44410</v>
          </cell>
          <cell r="N555">
            <v>485</v>
          </cell>
          <cell r="O555" t="str">
            <v>150</v>
          </cell>
          <cell r="AP555">
            <v>1552</v>
          </cell>
        </row>
        <row r="556">
          <cell r="C556">
            <v>44410</v>
          </cell>
          <cell r="N556">
            <v>485</v>
          </cell>
          <cell r="O556" t="str">
            <v>150</v>
          </cell>
          <cell r="AP556">
            <v>940</v>
          </cell>
        </row>
        <row r="557">
          <cell r="C557">
            <v>44410</v>
          </cell>
          <cell r="N557">
            <v>485</v>
          </cell>
          <cell r="O557" t="str">
            <v>150</v>
          </cell>
          <cell r="AP557">
            <v>993</v>
          </cell>
        </row>
        <row r="558">
          <cell r="C558">
            <v>44410</v>
          </cell>
          <cell r="N558">
            <v>485</v>
          </cell>
          <cell r="O558" t="str">
            <v>150</v>
          </cell>
          <cell r="AP558">
            <v>1001</v>
          </cell>
        </row>
        <row r="559">
          <cell r="C559">
            <v>44410</v>
          </cell>
          <cell r="N559">
            <v>485</v>
          </cell>
          <cell r="O559" t="str">
            <v>150</v>
          </cell>
          <cell r="AP559">
            <v>1541</v>
          </cell>
        </row>
        <row r="560">
          <cell r="C560">
            <v>44410</v>
          </cell>
          <cell r="N560">
            <v>485</v>
          </cell>
          <cell r="O560" t="str">
            <v>150</v>
          </cell>
          <cell r="AP560">
            <v>934</v>
          </cell>
        </row>
        <row r="561">
          <cell r="C561">
            <v>44410</v>
          </cell>
          <cell r="N561">
            <v>485</v>
          </cell>
          <cell r="O561" t="str">
            <v>150</v>
          </cell>
          <cell r="AP561">
            <v>991</v>
          </cell>
        </row>
        <row r="562">
          <cell r="C562">
            <v>44410</v>
          </cell>
          <cell r="N562">
            <v>485</v>
          </cell>
          <cell r="O562" t="str">
            <v>150</v>
          </cell>
          <cell r="AP562">
            <v>998</v>
          </cell>
        </row>
        <row r="563">
          <cell r="C563">
            <v>44410</v>
          </cell>
          <cell r="N563">
            <v>485</v>
          </cell>
          <cell r="O563" t="str">
            <v>150</v>
          </cell>
          <cell r="AP563">
            <v>1533</v>
          </cell>
        </row>
        <row r="564">
          <cell r="C564">
            <v>44410</v>
          </cell>
          <cell r="N564">
            <v>485</v>
          </cell>
          <cell r="O564" t="str">
            <v>150</v>
          </cell>
          <cell r="AP564">
            <v>927</v>
          </cell>
        </row>
        <row r="565">
          <cell r="C565">
            <v>44410</v>
          </cell>
          <cell r="N565">
            <v>485</v>
          </cell>
          <cell r="O565" t="str">
            <v>150</v>
          </cell>
          <cell r="AP565">
            <v>995</v>
          </cell>
        </row>
        <row r="566">
          <cell r="C566">
            <v>44410</v>
          </cell>
          <cell r="N566">
            <v>485</v>
          </cell>
          <cell r="O566" t="str">
            <v>150</v>
          </cell>
          <cell r="AP566">
            <v>1004</v>
          </cell>
        </row>
        <row r="567">
          <cell r="C567">
            <v>44410</v>
          </cell>
          <cell r="N567">
            <v>485</v>
          </cell>
          <cell r="O567" t="str">
            <v>150</v>
          </cell>
          <cell r="AP567">
            <v>1550</v>
          </cell>
        </row>
        <row r="568">
          <cell r="C568">
            <v>44410</v>
          </cell>
          <cell r="N568">
            <v>485</v>
          </cell>
          <cell r="O568" t="str">
            <v>150</v>
          </cell>
          <cell r="AP568">
            <v>926</v>
          </cell>
        </row>
        <row r="569">
          <cell r="C569">
            <v>44410</v>
          </cell>
          <cell r="N569">
            <v>485</v>
          </cell>
          <cell r="O569" t="str">
            <v>150</v>
          </cell>
          <cell r="AP569">
            <v>942</v>
          </cell>
        </row>
        <row r="570">
          <cell r="C570">
            <v>44410</v>
          </cell>
          <cell r="N570">
            <v>485</v>
          </cell>
          <cell r="O570" t="str">
            <v>150</v>
          </cell>
          <cell r="AP570">
            <v>954</v>
          </cell>
        </row>
        <row r="571">
          <cell r="C571">
            <v>44410</v>
          </cell>
          <cell r="N571">
            <v>485</v>
          </cell>
          <cell r="O571" t="str">
            <v>150</v>
          </cell>
          <cell r="AP571">
            <v>1476</v>
          </cell>
        </row>
        <row r="572">
          <cell r="C572">
            <v>44410</v>
          </cell>
          <cell r="N572">
            <v>485</v>
          </cell>
          <cell r="O572" t="str">
            <v>150</v>
          </cell>
          <cell r="AP572">
            <v>883</v>
          </cell>
        </row>
        <row r="573">
          <cell r="C573">
            <v>44410</v>
          </cell>
          <cell r="N573">
            <v>488</v>
          </cell>
          <cell r="O573" t="str">
            <v>150</v>
          </cell>
          <cell r="AP573">
            <v>941</v>
          </cell>
        </row>
        <row r="574">
          <cell r="C574">
            <v>44410</v>
          </cell>
          <cell r="N574">
            <v>488</v>
          </cell>
          <cell r="O574" t="str">
            <v>150</v>
          </cell>
          <cell r="AP574">
            <v>994</v>
          </cell>
        </row>
        <row r="575">
          <cell r="C575">
            <v>44410</v>
          </cell>
          <cell r="N575">
            <v>488</v>
          </cell>
          <cell r="O575" t="str">
            <v>150</v>
          </cell>
          <cell r="AP575">
            <v>1481</v>
          </cell>
        </row>
        <row r="576">
          <cell r="C576">
            <v>44410</v>
          </cell>
          <cell r="N576">
            <v>488</v>
          </cell>
          <cell r="O576" t="str">
            <v>150</v>
          </cell>
          <cell r="AP576">
            <v>885</v>
          </cell>
        </row>
        <row r="577">
          <cell r="C577">
            <v>44410</v>
          </cell>
          <cell r="N577">
            <v>488</v>
          </cell>
          <cell r="O577" t="str">
            <v>150</v>
          </cell>
          <cell r="AP577">
            <v>952</v>
          </cell>
        </row>
        <row r="578">
          <cell r="C578">
            <v>44410</v>
          </cell>
          <cell r="N578">
            <v>488</v>
          </cell>
          <cell r="O578" t="str">
            <v>150</v>
          </cell>
          <cell r="AP578">
            <v>952</v>
          </cell>
        </row>
        <row r="579">
          <cell r="C579">
            <v>44410</v>
          </cell>
          <cell r="N579">
            <v>488</v>
          </cell>
          <cell r="O579" t="str">
            <v>150</v>
          </cell>
          <cell r="AP579">
            <v>1493</v>
          </cell>
        </row>
        <row r="580">
          <cell r="C580">
            <v>44410</v>
          </cell>
          <cell r="N580">
            <v>488</v>
          </cell>
          <cell r="O580" t="str">
            <v>150</v>
          </cell>
          <cell r="AP580">
            <v>897</v>
          </cell>
        </row>
        <row r="581">
          <cell r="C581">
            <v>44410</v>
          </cell>
          <cell r="N581">
            <v>488</v>
          </cell>
          <cell r="O581" t="str">
            <v>150</v>
          </cell>
          <cell r="AP581">
            <v>933</v>
          </cell>
        </row>
        <row r="582">
          <cell r="C582">
            <v>44410</v>
          </cell>
          <cell r="N582">
            <v>488</v>
          </cell>
          <cell r="O582" t="str">
            <v>150</v>
          </cell>
          <cell r="AP582">
            <v>936</v>
          </cell>
        </row>
        <row r="583">
          <cell r="C583">
            <v>44410</v>
          </cell>
          <cell r="N583">
            <v>488</v>
          </cell>
          <cell r="O583" t="str">
            <v>150</v>
          </cell>
          <cell r="AP583">
            <v>1469</v>
          </cell>
        </row>
        <row r="584">
          <cell r="C584">
            <v>44410</v>
          </cell>
          <cell r="N584">
            <v>488</v>
          </cell>
          <cell r="O584" t="str">
            <v>150</v>
          </cell>
          <cell r="AP584">
            <v>880</v>
          </cell>
        </row>
        <row r="585">
          <cell r="C585">
            <v>44410</v>
          </cell>
          <cell r="N585">
            <v>488</v>
          </cell>
          <cell r="O585" t="str">
            <v>150</v>
          </cell>
          <cell r="AP585">
            <v>940</v>
          </cell>
        </row>
        <row r="586">
          <cell r="C586">
            <v>44410</v>
          </cell>
          <cell r="N586">
            <v>488</v>
          </cell>
          <cell r="O586" t="str">
            <v>150</v>
          </cell>
          <cell r="AP586">
            <v>942</v>
          </cell>
        </row>
        <row r="587">
          <cell r="C587">
            <v>44410</v>
          </cell>
          <cell r="N587">
            <v>488</v>
          </cell>
          <cell r="O587" t="str">
            <v>150</v>
          </cell>
          <cell r="AP587">
            <v>1480</v>
          </cell>
        </row>
        <row r="588">
          <cell r="C588">
            <v>44410</v>
          </cell>
          <cell r="N588">
            <v>488</v>
          </cell>
          <cell r="O588" t="str">
            <v>150</v>
          </cell>
          <cell r="AP588">
            <v>888</v>
          </cell>
        </row>
        <row r="589">
          <cell r="C589">
            <v>44410</v>
          </cell>
          <cell r="N589">
            <v>488</v>
          </cell>
          <cell r="O589" t="str">
            <v>150</v>
          </cell>
          <cell r="AP589">
            <v>927</v>
          </cell>
        </row>
        <row r="590">
          <cell r="C590">
            <v>44410</v>
          </cell>
          <cell r="N590">
            <v>488</v>
          </cell>
          <cell r="O590" t="str">
            <v>150</v>
          </cell>
          <cell r="AP590">
            <v>934</v>
          </cell>
        </row>
        <row r="591">
          <cell r="C591">
            <v>44410</v>
          </cell>
          <cell r="N591">
            <v>488</v>
          </cell>
          <cell r="O591" t="str">
            <v>150</v>
          </cell>
          <cell r="AP591">
            <v>1466</v>
          </cell>
        </row>
        <row r="592">
          <cell r="C592">
            <v>44410</v>
          </cell>
          <cell r="N592">
            <v>488</v>
          </cell>
          <cell r="O592" t="str">
            <v>150</v>
          </cell>
          <cell r="AP592">
            <v>877</v>
          </cell>
        </row>
        <row r="593">
          <cell r="C593">
            <v>44410</v>
          </cell>
          <cell r="N593">
            <v>488</v>
          </cell>
          <cell r="O593" t="str">
            <v>150</v>
          </cell>
          <cell r="AP593">
            <v>933</v>
          </cell>
        </row>
        <row r="594">
          <cell r="C594">
            <v>44410</v>
          </cell>
          <cell r="N594">
            <v>488</v>
          </cell>
          <cell r="O594" t="str">
            <v>150</v>
          </cell>
          <cell r="AP594">
            <v>940</v>
          </cell>
        </row>
        <row r="595">
          <cell r="C595">
            <v>44410</v>
          </cell>
          <cell r="N595">
            <v>488</v>
          </cell>
          <cell r="O595" t="str">
            <v>150</v>
          </cell>
          <cell r="AP595">
            <v>1474</v>
          </cell>
        </row>
        <row r="596">
          <cell r="C596">
            <v>44410</v>
          </cell>
          <cell r="N596">
            <v>488</v>
          </cell>
          <cell r="O596" t="str">
            <v>150</v>
          </cell>
          <cell r="AP596">
            <v>881</v>
          </cell>
        </row>
        <row r="597">
          <cell r="C597">
            <v>44410</v>
          </cell>
          <cell r="N597">
            <v>484</v>
          </cell>
          <cell r="O597" t="str">
            <v>150</v>
          </cell>
          <cell r="AP597">
            <v>1051</v>
          </cell>
        </row>
        <row r="598">
          <cell r="C598">
            <v>44410</v>
          </cell>
          <cell r="N598">
            <v>484</v>
          </cell>
          <cell r="O598" t="str">
            <v>150</v>
          </cell>
          <cell r="AP598">
            <v>1057</v>
          </cell>
        </row>
        <row r="599">
          <cell r="C599">
            <v>44410</v>
          </cell>
          <cell r="N599">
            <v>484</v>
          </cell>
          <cell r="O599" t="str">
            <v>150</v>
          </cell>
          <cell r="AP599">
            <v>1056</v>
          </cell>
        </row>
        <row r="600">
          <cell r="C600">
            <v>44410</v>
          </cell>
          <cell r="N600">
            <v>484</v>
          </cell>
          <cell r="O600" t="str">
            <v>150</v>
          </cell>
          <cell r="AP600">
            <v>1047</v>
          </cell>
        </row>
        <row r="601">
          <cell r="C601">
            <v>44410</v>
          </cell>
          <cell r="N601">
            <v>484</v>
          </cell>
          <cell r="O601" t="str">
            <v>150</v>
          </cell>
          <cell r="AP601">
            <v>1054</v>
          </cell>
        </row>
        <row r="602">
          <cell r="C602">
            <v>44410</v>
          </cell>
          <cell r="N602">
            <v>484</v>
          </cell>
          <cell r="O602" t="str">
            <v>150</v>
          </cell>
          <cell r="AP602">
            <v>1061</v>
          </cell>
        </row>
        <row r="603">
          <cell r="C603">
            <v>44410</v>
          </cell>
          <cell r="N603">
            <v>484</v>
          </cell>
          <cell r="O603" t="str">
            <v>150</v>
          </cell>
          <cell r="AP603">
            <v>1060</v>
          </cell>
        </row>
        <row r="604">
          <cell r="C604">
            <v>44410</v>
          </cell>
          <cell r="N604">
            <v>484</v>
          </cell>
          <cell r="O604" t="str">
            <v>150</v>
          </cell>
          <cell r="AP604">
            <v>1049</v>
          </cell>
        </row>
        <row r="605">
          <cell r="C605">
            <v>44410</v>
          </cell>
          <cell r="N605">
            <v>484</v>
          </cell>
          <cell r="O605" t="str">
            <v>150</v>
          </cell>
          <cell r="AP605">
            <v>1062</v>
          </cell>
        </row>
        <row r="606">
          <cell r="C606">
            <v>44410</v>
          </cell>
          <cell r="N606">
            <v>484</v>
          </cell>
          <cell r="O606" t="str">
            <v>150</v>
          </cell>
          <cell r="AP606">
            <v>1067</v>
          </cell>
        </row>
        <row r="607">
          <cell r="C607">
            <v>44410</v>
          </cell>
          <cell r="N607">
            <v>484</v>
          </cell>
          <cell r="O607" t="str">
            <v>150</v>
          </cell>
          <cell r="AP607">
            <v>1056</v>
          </cell>
        </row>
        <row r="608">
          <cell r="C608">
            <v>44410</v>
          </cell>
          <cell r="N608">
            <v>484</v>
          </cell>
          <cell r="O608" t="str">
            <v>150</v>
          </cell>
          <cell r="AP608">
            <v>1065</v>
          </cell>
        </row>
        <row r="609">
          <cell r="C609">
            <v>44410</v>
          </cell>
          <cell r="N609">
            <v>484</v>
          </cell>
          <cell r="O609" t="str">
            <v>150</v>
          </cell>
          <cell r="AP609">
            <v>1083</v>
          </cell>
        </row>
        <row r="610">
          <cell r="C610">
            <v>44410</v>
          </cell>
          <cell r="N610">
            <v>484</v>
          </cell>
          <cell r="O610" t="str">
            <v>150</v>
          </cell>
          <cell r="AP610">
            <v>1091</v>
          </cell>
        </row>
        <row r="611">
          <cell r="C611">
            <v>44410</v>
          </cell>
          <cell r="N611">
            <v>484</v>
          </cell>
          <cell r="O611" t="str">
            <v>150</v>
          </cell>
          <cell r="AP611">
            <v>1088</v>
          </cell>
        </row>
        <row r="612">
          <cell r="C612">
            <v>44410</v>
          </cell>
          <cell r="N612">
            <v>484</v>
          </cell>
          <cell r="O612" t="str">
            <v>150</v>
          </cell>
          <cell r="AP612">
            <v>1078</v>
          </cell>
        </row>
        <row r="613">
          <cell r="C613">
            <v>44410</v>
          </cell>
          <cell r="N613">
            <v>484</v>
          </cell>
          <cell r="O613" t="str">
            <v>150</v>
          </cell>
          <cell r="AP613">
            <v>1126</v>
          </cell>
        </row>
        <row r="614">
          <cell r="C614">
            <v>44410</v>
          </cell>
          <cell r="N614">
            <v>484</v>
          </cell>
          <cell r="O614" t="str">
            <v>150</v>
          </cell>
          <cell r="AP614">
            <v>1134</v>
          </cell>
        </row>
        <row r="615">
          <cell r="C615">
            <v>44410</v>
          </cell>
          <cell r="N615">
            <v>484</v>
          </cell>
          <cell r="O615" t="str">
            <v>150</v>
          </cell>
          <cell r="AP615">
            <v>1132</v>
          </cell>
        </row>
        <row r="616">
          <cell r="C616">
            <v>44410</v>
          </cell>
          <cell r="N616">
            <v>484</v>
          </cell>
          <cell r="O616" t="str">
            <v>150</v>
          </cell>
          <cell r="AP616">
            <v>1119</v>
          </cell>
        </row>
        <row r="617">
          <cell r="C617">
            <v>44411</v>
          </cell>
          <cell r="N617">
            <v>484</v>
          </cell>
          <cell r="O617" t="str">
            <v>150</v>
          </cell>
          <cell r="AP617">
            <v>1036</v>
          </cell>
        </row>
        <row r="618">
          <cell r="C618">
            <v>44411</v>
          </cell>
          <cell r="N618">
            <v>484</v>
          </cell>
          <cell r="O618" t="str">
            <v>150</v>
          </cell>
          <cell r="AP618">
            <v>1041</v>
          </cell>
        </row>
        <row r="619">
          <cell r="C619">
            <v>44411</v>
          </cell>
          <cell r="N619">
            <v>484</v>
          </cell>
          <cell r="O619" t="str">
            <v>150</v>
          </cell>
          <cell r="AP619">
            <v>1039</v>
          </cell>
        </row>
        <row r="620">
          <cell r="C620">
            <v>44411</v>
          </cell>
          <cell r="N620">
            <v>484</v>
          </cell>
          <cell r="O620" t="str">
            <v>150</v>
          </cell>
          <cell r="AP620">
            <v>1031</v>
          </cell>
        </row>
        <row r="621">
          <cell r="C621">
            <v>44411</v>
          </cell>
          <cell r="N621">
            <v>486</v>
          </cell>
          <cell r="O621" t="str">
            <v>150</v>
          </cell>
          <cell r="AP621">
            <v>1394</v>
          </cell>
        </row>
        <row r="622">
          <cell r="C622">
            <v>44410</v>
          </cell>
          <cell r="N622">
            <v>486</v>
          </cell>
          <cell r="O622" t="str">
            <v>150</v>
          </cell>
          <cell r="AP622">
            <v>862</v>
          </cell>
        </row>
        <row r="623">
          <cell r="C623">
            <v>44410</v>
          </cell>
          <cell r="N623">
            <v>486</v>
          </cell>
          <cell r="O623" t="str">
            <v>150</v>
          </cell>
          <cell r="AP623">
            <v>875</v>
          </cell>
        </row>
        <row r="624">
          <cell r="C624">
            <v>44410</v>
          </cell>
          <cell r="N624">
            <v>486</v>
          </cell>
          <cell r="O624" t="str">
            <v>150</v>
          </cell>
          <cell r="AP624">
            <v>1031</v>
          </cell>
        </row>
        <row r="625">
          <cell r="C625">
            <v>44410</v>
          </cell>
          <cell r="N625">
            <v>486</v>
          </cell>
          <cell r="O625" t="str">
            <v>150</v>
          </cell>
          <cell r="AP625">
            <v>1435</v>
          </cell>
        </row>
        <row r="626">
          <cell r="C626">
            <v>44410</v>
          </cell>
          <cell r="N626">
            <v>486</v>
          </cell>
          <cell r="O626" t="str">
            <v>150</v>
          </cell>
          <cell r="AP626">
            <v>887</v>
          </cell>
        </row>
        <row r="627">
          <cell r="C627">
            <v>44410</v>
          </cell>
          <cell r="N627">
            <v>486</v>
          </cell>
          <cell r="O627" t="str">
            <v>150</v>
          </cell>
          <cell r="AP627">
            <v>900</v>
          </cell>
        </row>
        <row r="628">
          <cell r="C628">
            <v>44410</v>
          </cell>
          <cell r="N628">
            <v>486</v>
          </cell>
          <cell r="O628" t="str">
            <v>150</v>
          </cell>
          <cell r="AP628">
            <v>1060</v>
          </cell>
        </row>
        <row r="629">
          <cell r="C629">
            <v>44410</v>
          </cell>
          <cell r="N629">
            <v>486</v>
          </cell>
          <cell r="O629" t="str">
            <v>150</v>
          </cell>
          <cell r="AP629">
            <v>1452</v>
          </cell>
        </row>
        <row r="630">
          <cell r="C630">
            <v>44410</v>
          </cell>
          <cell r="N630">
            <v>486</v>
          </cell>
          <cell r="O630" t="str">
            <v>150</v>
          </cell>
          <cell r="AP630">
            <v>896</v>
          </cell>
        </row>
        <row r="631">
          <cell r="C631">
            <v>44410</v>
          </cell>
          <cell r="N631">
            <v>486</v>
          </cell>
          <cell r="O631" t="str">
            <v>150</v>
          </cell>
          <cell r="AP631">
            <v>910</v>
          </cell>
        </row>
        <row r="632">
          <cell r="C632">
            <v>44410</v>
          </cell>
          <cell r="N632">
            <v>486</v>
          </cell>
          <cell r="O632" t="str">
            <v>150</v>
          </cell>
          <cell r="AP632">
            <v>1073</v>
          </cell>
        </row>
        <row r="633">
          <cell r="C633">
            <v>44410</v>
          </cell>
          <cell r="N633">
            <v>486</v>
          </cell>
          <cell r="O633" t="str">
            <v>150</v>
          </cell>
          <cell r="AP633">
            <v>1490</v>
          </cell>
        </row>
        <row r="634">
          <cell r="C634">
            <v>44410</v>
          </cell>
          <cell r="N634">
            <v>486</v>
          </cell>
          <cell r="O634" t="str">
            <v>150</v>
          </cell>
          <cell r="AP634">
            <v>920</v>
          </cell>
        </row>
        <row r="635">
          <cell r="C635">
            <v>44410</v>
          </cell>
          <cell r="N635">
            <v>486</v>
          </cell>
          <cell r="O635" t="str">
            <v>150</v>
          </cell>
          <cell r="AP635">
            <v>934</v>
          </cell>
        </row>
        <row r="636">
          <cell r="C636">
            <v>44410</v>
          </cell>
          <cell r="N636">
            <v>486</v>
          </cell>
          <cell r="O636" t="str">
            <v>150</v>
          </cell>
          <cell r="AP636">
            <v>1102</v>
          </cell>
        </row>
        <row r="637">
          <cell r="C637">
            <v>44411</v>
          </cell>
          <cell r="N637">
            <v>486</v>
          </cell>
          <cell r="O637" t="str">
            <v>150</v>
          </cell>
          <cell r="AP637">
            <v>1425</v>
          </cell>
        </row>
        <row r="638">
          <cell r="C638">
            <v>44411</v>
          </cell>
          <cell r="N638">
            <v>486</v>
          </cell>
          <cell r="O638" t="str">
            <v>150</v>
          </cell>
          <cell r="AP638">
            <v>879</v>
          </cell>
        </row>
        <row r="639">
          <cell r="C639">
            <v>44411</v>
          </cell>
          <cell r="N639">
            <v>486</v>
          </cell>
          <cell r="O639" t="str">
            <v>150</v>
          </cell>
          <cell r="AP639">
            <v>894</v>
          </cell>
        </row>
        <row r="640">
          <cell r="C640">
            <v>44411</v>
          </cell>
          <cell r="N640">
            <v>486</v>
          </cell>
          <cell r="O640" t="str">
            <v>150</v>
          </cell>
          <cell r="AP640">
            <v>1055</v>
          </cell>
        </row>
        <row r="641">
          <cell r="C641">
            <v>44411</v>
          </cell>
          <cell r="N641">
            <v>486</v>
          </cell>
          <cell r="O641" t="str">
            <v>150</v>
          </cell>
          <cell r="AP641">
            <v>1442</v>
          </cell>
        </row>
        <row r="642">
          <cell r="C642">
            <v>44411</v>
          </cell>
          <cell r="N642">
            <v>486</v>
          </cell>
          <cell r="O642" t="str">
            <v>150</v>
          </cell>
          <cell r="AP642">
            <v>895</v>
          </cell>
        </row>
        <row r="643">
          <cell r="C643">
            <v>44411</v>
          </cell>
          <cell r="N643">
            <v>486</v>
          </cell>
          <cell r="O643" t="str">
            <v>150</v>
          </cell>
          <cell r="AP643">
            <v>907</v>
          </cell>
        </row>
        <row r="644">
          <cell r="C644">
            <v>44411</v>
          </cell>
          <cell r="N644">
            <v>486</v>
          </cell>
          <cell r="O644" t="str">
            <v>150</v>
          </cell>
          <cell r="AP644">
            <v>1072</v>
          </cell>
        </row>
        <row r="645">
          <cell r="C645">
            <v>44411</v>
          </cell>
          <cell r="N645">
            <v>486</v>
          </cell>
          <cell r="O645" t="str">
            <v>150</v>
          </cell>
          <cell r="AP645">
            <v>1436</v>
          </cell>
        </row>
        <row r="646">
          <cell r="C646">
            <v>44411</v>
          </cell>
          <cell r="N646">
            <v>486</v>
          </cell>
          <cell r="O646" t="str">
            <v>150</v>
          </cell>
          <cell r="AP646">
            <v>887</v>
          </cell>
        </row>
        <row r="647">
          <cell r="C647">
            <v>44411</v>
          </cell>
          <cell r="N647">
            <v>486</v>
          </cell>
          <cell r="O647" t="str">
            <v>150</v>
          </cell>
          <cell r="AP647">
            <v>902</v>
          </cell>
        </row>
        <row r="648">
          <cell r="C648">
            <v>44411</v>
          </cell>
          <cell r="N648">
            <v>486</v>
          </cell>
          <cell r="O648" t="str">
            <v>150</v>
          </cell>
          <cell r="AP648">
            <v>1063</v>
          </cell>
        </row>
        <row r="649">
          <cell r="C649">
            <v>44411</v>
          </cell>
          <cell r="N649">
            <v>486</v>
          </cell>
          <cell r="O649" t="str">
            <v>150</v>
          </cell>
          <cell r="AP649">
            <v>1475</v>
          </cell>
        </row>
        <row r="650">
          <cell r="C650">
            <v>44411</v>
          </cell>
          <cell r="N650">
            <v>486</v>
          </cell>
          <cell r="O650" t="str">
            <v>150</v>
          </cell>
          <cell r="AP650">
            <v>911</v>
          </cell>
        </row>
        <row r="651">
          <cell r="C651">
            <v>44411</v>
          </cell>
          <cell r="N651">
            <v>486</v>
          </cell>
          <cell r="O651" t="str">
            <v>150</v>
          </cell>
          <cell r="AP651">
            <v>926</v>
          </cell>
        </row>
        <row r="652">
          <cell r="C652">
            <v>44411</v>
          </cell>
          <cell r="N652">
            <v>486</v>
          </cell>
          <cell r="O652" t="str">
            <v>150</v>
          </cell>
          <cell r="AP652">
            <v>1092</v>
          </cell>
        </row>
        <row r="653">
          <cell r="C653">
            <v>44411</v>
          </cell>
          <cell r="N653">
            <v>486</v>
          </cell>
          <cell r="O653" t="str">
            <v>150</v>
          </cell>
          <cell r="AP653">
            <v>1475</v>
          </cell>
        </row>
        <row r="654">
          <cell r="C654">
            <v>44411</v>
          </cell>
          <cell r="N654">
            <v>486</v>
          </cell>
          <cell r="O654" t="str">
            <v>150</v>
          </cell>
          <cell r="AP654">
            <v>911</v>
          </cell>
        </row>
        <row r="655">
          <cell r="C655">
            <v>44411</v>
          </cell>
          <cell r="N655">
            <v>486</v>
          </cell>
          <cell r="O655" t="str">
            <v>150</v>
          </cell>
          <cell r="AP655">
            <v>925</v>
          </cell>
        </row>
        <row r="656">
          <cell r="C656">
            <v>44411</v>
          </cell>
          <cell r="N656">
            <v>486</v>
          </cell>
          <cell r="O656" t="str">
            <v>150</v>
          </cell>
          <cell r="AP656">
            <v>1090</v>
          </cell>
        </row>
        <row r="657">
          <cell r="C657">
            <v>44411</v>
          </cell>
          <cell r="N657">
            <v>486</v>
          </cell>
          <cell r="O657" t="str">
            <v>150</v>
          </cell>
          <cell r="AP657">
            <v>1447</v>
          </cell>
        </row>
        <row r="658">
          <cell r="C658">
            <v>44411</v>
          </cell>
          <cell r="N658">
            <v>486</v>
          </cell>
          <cell r="O658" t="str">
            <v>150</v>
          </cell>
          <cell r="AP658">
            <v>895</v>
          </cell>
        </row>
        <row r="659">
          <cell r="C659">
            <v>44411</v>
          </cell>
          <cell r="N659">
            <v>486</v>
          </cell>
          <cell r="O659" t="str">
            <v>150</v>
          </cell>
          <cell r="AP659">
            <v>909</v>
          </cell>
        </row>
        <row r="660">
          <cell r="C660">
            <v>44411</v>
          </cell>
          <cell r="N660">
            <v>486</v>
          </cell>
          <cell r="O660" t="str">
            <v>150</v>
          </cell>
          <cell r="AP660">
            <v>1071</v>
          </cell>
        </row>
        <row r="661">
          <cell r="C661">
            <v>44411</v>
          </cell>
          <cell r="N661">
            <v>486</v>
          </cell>
          <cell r="O661" t="str">
            <v>150</v>
          </cell>
          <cell r="AP661">
            <v>1444</v>
          </cell>
        </row>
        <row r="662">
          <cell r="C662">
            <v>44411</v>
          </cell>
          <cell r="N662">
            <v>486</v>
          </cell>
          <cell r="O662" t="str">
            <v>150</v>
          </cell>
          <cell r="AP662">
            <v>894</v>
          </cell>
        </row>
        <row r="663">
          <cell r="C663">
            <v>44411</v>
          </cell>
          <cell r="N663">
            <v>486</v>
          </cell>
          <cell r="O663" t="str">
            <v>150</v>
          </cell>
          <cell r="AP663">
            <v>909</v>
          </cell>
        </row>
        <row r="664">
          <cell r="C664">
            <v>44411</v>
          </cell>
          <cell r="N664">
            <v>486</v>
          </cell>
          <cell r="O664" t="str">
            <v>150</v>
          </cell>
          <cell r="AP664">
            <v>1068</v>
          </cell>
        </row>
        <row r="665">
          <cell r="C665">
            <v>44411</v>
          </cell>
          <cell r="N665">
            <v>486</v>
          </cell>
          <cell r="O665" t="str">
            <v>150</v>
          </cell>
          <cell r="AP665">
            <v>1449</v>
          </cell>
        </row>
        <row r="666">
          <cell r="C666">
            <v>44411</v>
          </cell>
          <cell r="N666">
            <v>486</v>
          </cell>
          <cell r="O666" t="str">
            <v>150</v>
          </cell>
          <cell r="AP666">
            <v>896</v>
          </cell>
        </row>
        <row r="667">
          <cell r="C667">
            <v>44411</v>
          </cell>
          <cell r="N667">
            <v>486</v>
          </cell>
          <cell r="O667" t="str">
            <v>150</v>
          </cell>
          <cell r="AP667">
            <v>911</v>
          </cell>
        </row>
        <row r="668">
          <cell r="C668">
            <v>44411</v>
          </cell>
          <cell r="N668">
            <v>486</v>
          </cell>
          <cell r="O668" t="str">
            <v>150</v>
          </cell>
          <cell r="AP668">
            <v>1072</v>
          </cell>
        </row>
        <row r="669">
          <cell r="C669">
            <v>44411</v>
          </cell>
          <cell r="N669">
            <v>486</v>
          </cell>
          <cell r="O669" t="str">
            <v>150</v>
          </cell>
          <cell r="AP669">
            <v>1490</v>
          </cell>
        </row>
        <row r="670">
          <cell r="C670">
            <v>44411</v>
          </cell>
          <cell r="N670">
            <v>486</v>
          </cell>
          <cell r="O670" t="str">
            <v>150</v>
          </cell>
          <cell r="AP670">
            <v>920</v>
          </cell>
        </row>
        <row r="671">
          <cell r="C671">
            <v>44411</v>
          </cell>
          <cell r="N671">
            <v>486</v>
          </cell>
          <cell r="O671" t="str">
            <v>150</v>
          </cell>
          <cell r="AP671">
            <v>935</v>
          </cell>
        </row>
        <row r="672">
          <cell r="C672">
            <v>44411</v>
          </cell>
          <cell r="N672">
            <v>486</v>
          </cell>
          <cell r="O672" t="str">
            <v>150</v>
          </cell>
          <cell r="AP672">
            <v>1101</v>
          </cell>
        </row>
        <row r="673">
          <cell r="C673">
            <v>44411</v>
          </cell>
          <cell r="N673">
            <v>486</v>
          </cell>
          <cell r="O673" t="str">
            <v>150</v>
          </cell>
          <cell r="AP673">
            <v>1456</v>
          </cell>
        </row>
        <row r="674">
          <cell r="C674">
            <v>44411</v>
          </cell>
          <cell r="N674">
            <v>486</v>
          </cell>
          <cell r="O674" t="str">
            <v>150</v>
          </cell>
          <cell r="AP674">
            <v>899</v>
          </cell>
        </row>
        <row r="675">
          <cell r="C675">
            <v>44411</v>
          </cell>
          <cell r="N675">
            <v>486</v>
          </cell>
          <cell r="O675" t="str">
            <v>150</v>
          </cell>
          <cell r="AP675">
            <v>913</v>
          </cell>
        </row>
        <row r="676">
          <cell r="C676">
            <v>44411</v>
          </cell>
          <cell r="N676">
            <v>486</v>
          </cell>
          <cell r="O676" t="str">
            <v>150</v>
          </cell>
          <cell r="AP676">
            <v>1076</v>
          </cell>
        </row>
        <row r="677">
          <cell r="C677">
            <v>44410</v>
          </cell>
          <cell r="N677">
            <v>486</v>
          </cell>
          <cell r="O677" t="str">
            <v>150</v>
          </cell>
          <cell r="AP677">
            <v>1411</v>
          </cell>
        </row>
        <row r="678">
          <cell r="C678">
            <v>44410</v>
          </cell>
          <cell r="N678">
            <v>486</v>
          </cell>
          <cell r="O678" t="str">
            <v>150</v>
          </cell>
          <cell r="AP678">
            <v>871</v>
          </cell>
        </row>
        <row r="679">
          <cell r="C679">
            <v>44410</v>
          </cell>
          <cell r="N679">
            <v>486</v>
          </cell>
          <cell r="O679" t="str">
            <v>150</v>
          </cell>
          <cell r="AP679">
            <v>884</v>
          </cell>
        </row>
        <row r="680">
          <cell r="C680">
            <v>44410</v>
          </cell>
          <cell r="N680">
            <v>486</v>
          </cell>
          <cell r="O680" t="str">
            <v>150</v>
          </cell>
          <cell r="AP680">
            <v>1045</v>
          </cell>
        </row>
        <row r="681">
          <cell r="C681">
            <v>44410</v>
          </cell>
          <cell r="N681">
            <v>486</v>
          </cell>
          <cell r="O681" t="str">
            <v>150</v>
          </cell>
          <cell r="AP681">
            <v>1407</v>
          </cell>
        </row>
        <row r="682">
          <cell r="C682">
            <v>44410</v>
          </cell>
          <cell r="N682">
            <v>486</v>
          </cell>
          <cell r="O682" t="str">
            <v>150</v>
          </cell>
          <cell r="AP682">
            <v>868</v>
          </cell>
        </row>
        <row r="683">
          <cell r="C683">
            <v>44410</v>
          </cell>
          <cell r="N683">
            <v>486</v>
          </cell>
          <cell r="O683" t="str">
            <v>150</v>
          </cell>
          <cell r="AP683">
            <v>883</v>
          </cell>
        </row>
        <row r="684">
          <cell r="C684">
            <v>44410</v>
          </cell>
          <cell r="N684">
            <v>486</v>
          </cell>
          <cell r="O684" t="str">
            <v>150</v>
          </cell>
          <cell r="AP684">
            <v>1041</v>
          </cell>
        </row>
        <row r="685">
          <cell r="C685">
            <v>44410</v>
          </cell>
          <cell r="N685">
            <v>486</v>
          </cell>
          <cell r="O685" t="str">
            <v>150</v>
          </cell>
          <cell r="AP685">
            <v>1402</v>
          </cell>
        </row>
        <row r="686">
          <cell r="C686">
            <v>44410</v>
          </cell>
          <cell r="N686">
            <v>486</v>
          </cell>
          <cell r="O686" t="str">
            <v>150</v>
          </cell>
          <cell r="AP686">
            <v>867</v>
          </cell>
        </row>
        <row r="687">
          <cell r="C687">
            <v>44410</v>
          </cell>
          <cell r="N687">
            <v>486</v>
          </cell>
          <cell r="O687" t="str">
            <v>150</v>
          </cell>
          <cell r="AP687">
            <v>880</v>
          </cell>
        </row>
        <row r="688">
          <cell r="C688">
            <v>44410</v>
          </cell>
          <cell r="N688">
            <v>486</v>
          </cell>
          <cell r="O688" t="str">
            <v>150</v>
          </cell>
          <cell r="AP688">
            <v>1038</v>
          </cell>
        </row>
        <row r="689">
          <cell r="C689">
            <v>44410</v>
          </cell>
          <cell r="N689">
            <v>486</v>
          </cell>
          <cell r="O689" t="str">
            <v>150</v>
          </cell>
          <cell r="AP689">
            <v>1407</v>
          </cell>
        </row>
        <row r="690">
          <cell r="C690">
            <v>44410</v>
          </cell>
          <cell r="N690">
            <v>486</v>
          </cell>
          <cell r="O690" t="str">
            <v>150</v>
          </cell>
          <cell r="AP690">
            <v>869</v>
          </cell>
        </row>
        <row r="691">
          <cell r="C691">
            <v>44410</v>
          </cell>
          <cell r="N691">
            <v>486</v>
          </cell>
          <cell r="O691" t="str">
            <v>150</v>
          </cell>
          <cell r="AP691">
            <v>883</v>
          </cell>
        </row>
        <row r="692">
          <cell r="C692">
            <v>44410</v>
          </cell>
          <cell r="N692">
            <v>486</v>
          </cell>
          <cell r="O692" t="str">
            <v>150</v>
          </cell>
          <cell r="AP692">
            <v>1040</v>
          </cell>
        </row>
        <row r="693">
          <cell r="C693">
            <v>44410</v>
          </cell>
          <cell r="N693">
            <v>486</v>
          </cell>
          <cell r="O693" t="str">
            <v>150</v>
          </cell>
          <cell r="AP693">
            <v>1392</v>
          </cell>
        </row>
        <row r="694">
          <cell r="C694">
            <v>44410</v>
          </cell>
          <cell r="N694">
            <v>486</v>
          </cell>
          <cell r="O694" t="str">
            <v>150</v>
          </cell>
          <cell r="AP694">
            <v>858</v>
          </cell>
        </row>
        <row r="695">
          <cell r="C695">
            <v>44410</v>
          </cell>
          <cell r="N695">
            <v>486</v>
          </cell>
          <cell r="O695" t="str">
            <v>150</v>
          </cell>
          <cell r="AP695">
            <v>872</v>
          </cell>
        </row>
        <row r="696">
          <cell r="C696">
            <v>44410</v>
          </cell>
          <cell r="N696">
            <v>486</v>
          </cell>
          <cell r="O696" t="str">
            <v>150</v>
          </cell>
          <cell r="AP696">
            <v>1030</v>
          </cell>
        </row>
        <row r="697">
          <cell r="C697">
            <v>44410</v>
          </cell>
          <cell r="N697">
            <v>486</v>
          </cell>
          <cell r="O697" t="str">
            <v>150</v>
          </cell>
          <cell r="AP697">
            <v>1430</v>
          </cell>
        </row>
        <row r="698">
          <cell r="C698">
            <v>44410</v>
          </cell>
          <cell r="N698">
            <v>486</v>
          </cell>
          <cell r="O698" t="str">
            <v>150</v>
          </cell>
          <cell r="AP698">
            <v>885</v>
          </cell>
        </row>
        <row r="699">
          <cell r="C699">
            <v>44410</v>
          </cell>
          <cell r="N699">
            <v>486</v>
          </cell>
          <cell r="O699" t="str">
            <v>150</v>
          </cell>
          <cell r="AP699">
            <v>899</v>
          </cell>
        </row>
        <row r="700">
          <cell r="C700">
            <v>44410</v>
          </cell>
          <cell r="N700">
            <v>486</v>
          </cell>
          <cell r="O700" t="str">
            <v>150</v>
          </cell>
          <cell r="AP700">
            <v>1048</v>
          </cell>
        </row>
        <row r="701">
          <cell r="C701">
            <v>44411</v>
          </cell>
          <cell r="N701">
            <v>484</v>
          </cell>
          <cell r="O701" t="str">
            <v>170</v>
          </cell>
          <cell r="AP701">
            <v>1330</v>
          </cell>
        </row>
        <row r="702">
          <cell r="C702">
            <v>44411</v>
          </cell>
          <cell r="N702">
            <v>484</v>
          </cell>
          <cell r="O702" t="str">
            <v>170</v>
          </cell>
          <cell r="AP702">
            <v>1282</v>
          </cell>
        </row>
        <row r="703">
          <cell r="C703">
            <v>44411</v>
          </cell>
          <cell r="N703">
            <v>484</v>
          </cell>
          <cell r="O703" t="str">
            <v>170</v>
          </cell>
          <cell r="AP703">
            <v>1341</v>
          </cell>
        </row>
        <row r="704">
          <cell r="C704">
            <v>44411</v>
          </cell>
          <cell r="N704">
            <v>475</v>
          </cell>
          <cell r="O704" t="str">
            <v>170</v>
          </cell>
          <cell r="AP704">
            <v>886</v>
          </cell>
        </row>
        <row r="705">
          <cell r="C705">
            <v>44411</v>
          </cell>
          <cell r="N705">
            <v>475</v>
          </cell>
          <cell r="O705" t="str">
            <v>170</v>
          </cell>
          <cell r="AP705">
            <v>809</v>
          </cell>
        </row>
        <row r="706">
          <cell r="C706">
            <v>44411</v>
          </cell>
          <cell r="N706">
            <v>475</v>
          </cell>
          <cell r="O706" t="str">
            <v>170</v>
          </cell>
          <cell r="AP706">
            <v>849</v>
          </cell>
        </row>
        <row r="707">
          <cell r="C707">
            <v>44411</v>
          </cell>
          <cell r="N707">
            <v>485</v>
          </cell>
          <cell r="O707" t="str">
            <v>170</v>
          </cell>
          <cell r="AP707">
            <v>1296</v>
          </cell>
        </row>
        <row r="708">
          <cell r="C708">
            <v>44411</v>
          </cell>
          <cell r="N708">
            <v>485</v>
          </cell>
          <cell r="O708" t="str">
            <v>170</v>
          </cell>
          <cell r="AP708">
            <v>1606</v>
          </cell>
        </row>
        <row r="709">
          <cell r="C709">
            <v>44411</v>
          </cell>
          <cell r="N709">
            <v>485</v>
          </cell>
          <cell r="O709" t="str">
            <v>170</v>
          </cell>
          <cell r="AP709">
            <v>1292</v>
          </cell>
        </row>
        <row r="710">
          <cell r="C710">
            <v>44411</v>
          </cell>
          <cell r="N710">
            <v>485</v>
          </cell>
          <cell r="O710" t="str">
            <v>170</v>
          </cell>
          <cell r="AP710">
            <v>1086</v>
          </cell>
        </row>
        <row r="711">
          <cell r="C711">
            <v>44411</v>
          </cell>
          <cell r="N711">
            <v>485</v>
          </cell>
          <cell r="O711" t="str">
            <v>170</v>
          </cell>
          <cell r="AP711">
            <v>1537</v>
          </cell>
        </row>
        <row r="712">
          <cell r="C712">
            <v>44411</v>
          </cell>
          <cell r="N712">
            <v>485</v>
          </cell>
          <cell r="O712" t="str">
            <v>170</v>
          </cell>
          <cell r="AP712">
            <v>1061</v>
          </cell>
        </row>
        <row r="713">
          <cell r="C713">
            <v>44411</v>
          </cell>
          <cell r="N713">
            <v>485</v>
          </cell>
          <cell r="O713" t="str">
            <v>170</v>
          </cell>
          <cell r="AP713">
            <v>1246</v>
          </cell>
        </row>
        <row r="714">
          <cell r="C714">
            <v>44411</v>
          </cell>
          <cell r="N714">
            <v>485</v>
          </cell>
          <cell r="O714" t="str">
            <v>170</v>
          </cell>
          <cell r="AP714">
            <v>1572</v>
          </cell>
        </row>
        <row r="715">
          <cell r="C715">
            <v>44411</v>
          </cell>
          <cell r="N715">
            <v>485</v>
          </cell>
          <cell r="O715" t="str">
            <v>170</v>
          </cell>
          <cell r="AP715">
            <v>1155</v>
          </cell>
        </row>
        <row r="716">
          <cell r="C716">
            <v>44411</v>
          </cell>
          <cell r="N716">
            <v>485</v>
          </cell>
          <cell r="O716" t="str">
            <v>170</v>
          </cell>
          <cell r="AP716">
            <v>1325</v>
          </cell>
        </row>
        <row r="717">
          <cell r="C717">
            <v>44411</v>
          </cell>
          <cell r="N717">
            <v>485</v>
          </cell>
          <cell r="O717" t="str">
            <v>170</v>
          </cell>
          <cell r="AP717">
            <v>1642</v>
          </cell>
        </row>
        <row r="718">
          <cell r="C718">
            <v>44411</v>
          </cell>
          <cell r="N718">
            <v>485</v>
          </cell>
          <cell r="O718" t="str">
            <v>170</v>
          </cell>
          <cell r="AP718">
            <v>1328</v>
          </cell>
        </row>
        <row r="719">
          <cell r="C719">
            <v>44411</v>
          </cell>
          <cell r="N719">
            <v>485</v>
          </cell>
          <cell r="O719" t="str">
            <v>170</v>
          </cell>
          <cell r="AP719">
            <v>1280</v>
          </cell>
        </row>
        <row r="720">
          <cell r="C720">
            <v>44411</v>
          </cell>
          <cell r="N720">
            <v>485</v>
          </cell>
          <cell r="O720" t="str">
            <v>170</v>
          </cell>
          <cell r="AP720">
            <v>1710</v>
          </cell>
        </row>
        <row r="721">
          <cell r="C721">
            <v>44411</v>
          </cell>
          <cell r="N721">
            <v>485</v>
          </cell>
          <cell r="O721" t="str">
            <v>170</v>
          </cell>
          <cell r="AP721">
            <v>1375</v>
          </cell>
        </row>
        <row r="722">
          <cell r="C722">
            <v>44411</v>
          </cell>
          <cell r="N722">
            <v>485</v>
          </cell>
          <cell r="O722" t="str">
            <v>200</v>
          </cell>
          <cell r="AP722">
            <v>1337</v>
          </cell>
        </row>
        <row r="723">
          <cell r="C723">
            <v>44411</v>
          </cell>
          <cell r="N723">
            <v>485</v>
          </cell>
          <cell r="O723" t="str">
            <v>200</v>
          </cell>
          <cell r="AP723">
            <v>1637</v>
          </cell>
        </row>
        <row r="724">
          <cell r="C724">
            <v>44411</v>
          </cell>
          <cell r="N724">
            <v>485</v>
          </cell>
          <cell r="O724" t="str">
            <v>200</v>
          </cell>
          <cell r="AP724">
            <v>1332</v>
          </cell>
        </row>
        <row r="725">
          <cell r="C725">
            <v>44411</v>
          </cell>
          <cell r="N725">
            <v>480</v>
          </cell>
          <cell r="O725" t="str">
            <v>200</v>
          </cell>
          <cell r="AP725">
            <v>1180</v>
          </cell>
        </row>
        <row r="726">
          <cell r="C726">
            <v>44411</v>
          </cell>
          <cell r="N726">
            <v>480</v>
          </cell>
          <cell r="O726" t="str">
            <v>200</v>
          </cell>
          <cell r="AP726">
            <v>1773</v>
          </cell>
        </row>
        <row r="727">
          <cell r="C727">
            <v>44411</v>
          </cell>
          <cell r="N727">
            <v>480</v>
          </cell>
          <cell r="O727" t="str">
            <v>200</v>
          </cell>
          <cell r="AP727">
            <v>1096</v>
          </cell>
        </row>
        <row r="728">
          <cell r="C728">
            <v>44411</v>
          </cell>
          <cell r="N728">
            <v>480</v>
          </cell>
          <cell r="O728" t="str">
            <v>200</v>
          </cell>
          <cell r="AP728">
            <v>1192</v>
          </cell>
        </row>
        <row r="729">
          <cell r="C729">
            <v>44411</v>
          </cell>
          <cell r="N729">
            <v>480</v>
          </cell>
          <cell r="O729" t="str">
            <v>200</v>
          </cell>
          <cell r="AP729">
            <v>1788</v>
          </cell>
        </row>
        <row r="730">
          <cell r="C730">
            <v>44411</v>
          </cell>
          <cell r="N730">
            <v>480</v>
          </cell>
          <cell r="O730" t="str">
            <v>200</v>
          </cell>
          <cell r="AP730">
            <v>1106</v>
          </cell>
        </row>
        <row r="731">
          <cell r="C731">
            <v>44411</v>
          </cell>
          <cell r="N731">
            <v>480</v>
          </cell>
          <cell r="O731" t="str">
            <v>200</v>
          </cell>
          <cell r="AP731">
            <v>1180</v>
          </cell>
        </row>
        <row r="732">
          <cell r="C732">
            <v>44411</v>
          </cell>
          <cell r="N732">
            <v>480</v>
          </cell>
          <cell r="O732" t="str">
            <v>200</v>
          </cell>
          <cell r="AP732">
            <v>1770</v>
          </cell>
        </row>
        <row r="733">
          <cell r="C733">
            <v>44411</v>
          </cell>
          <cell r="N733">
            <v>480</v>
          </cell>
          <cell r="O733" t="str">
            <v>200</v>
          </cell>
          <cell r="AP733">
            <v>1116</v>
          </cell>
        </row>
        <row r="734">
          <cell r="C734">
            <v>44411</v>
          </cell>
          <cell r="N734">
            <v>480</v>
          </cell>
          <cell r="O734" t="str">
            <v>200</v>
          </cell>
          <cell r="AP734">
            <v>1188</v>
          </cell>
        </row>
        <row r="735">
          <cell r="C735">
            <v>44411</v>
          </cell>
          <cell r="N735">
            <v>480</v>
          </cell>
          <cell r="O735" t="str">
            <v>200</v>
          </cell>
          <cell r="AP735">
            <v>1791</v>
          </cell>
        </row>
        <row r="736">
          <cell r="C736">
            <v>44411</v>
          </cell>
          <cell r="N736">
            <v>480</v>
          </cell>
          <cell r="O736" t="str">
            <v>200</v>
          </cell>
          <cell r="AP736">
            <v>1108</v>
          </cell>
        </row>
        <row r="737">
          <cell r="C737">
            <v>44411</v>
          </cell>
          <cell r="N737">
            <v>480</v>
          </cell>
          <cell r="O737" t="str">
            <v>200</v>
          </cell>
          <cell r="AP737">
            <v>1183</v>
          </cell>
        </row>
        <row r="738">
          <cell r="C738">
            <v>44411</v>
          </cell>
          <cell r="N738">
            <v>480</v>
          </cell>
          <cell r="O738" t="str">
            <v>200</v>
          </cell>
          <cell r="AP738">
            <v>1784</v>
          </cell>
        </row>
        <row r="739">
          <cell r="C739">
            <v>44411</v>
          </cell>
          <cell r="N739">
            <v>480</v>
          </cell>
          <cell r="O739" t="str">
            <v>200</v>
          </cell>
          <cell r="AP739">
            <v>1104</v>
          </cell>
        </row>
        <row r="740">
          <cell r="C740">
            <v>44411</v>
          </cell>
          <cell r="N740">
            <v>480</v>
          </cell>
          <cell r="O740" t="str">
            <v>200</v>
          </cell>
          <cell r="AP740">
            <v>1157</v>
          </cell>
        </row>
        <row r="741">
          <cell r="C741">
            <v>44411</v>
          </cell>
          <cell r="N741">
            <v>480</v>
          </cell>
          <cell r="O741" t="str">
            <v>200</v>
          </cell>
          <cell r="AP741">
            <v>1744</v>
          </cell>
        </row>
        <row r="742">
          <cell r="C742">
            <v>44411</v>
          </cell>
          <cell r="N742">
            <v>480</v>
          </cell>
          <cell r="O742" t="str">
            <v>200</v>
          </cell>
          <cell r="AP742">
            <v>1080</v>
          </cell>
        </row>
        <row r="743">
          <cell r="C743">
            <v>44411</v>
          </cell>
          <cell r="N743">
            <v>480</v>
          </cell>
          <cell r="O743" t="str">
            <v>200</v>
          </cell>
          <cell r="AP743">
            <v>1548</v>
          </cell>
        </row>
        <row r="744">
          <cell r="C744">
            <v>44411</v>
          </cell>
          <cell r="N744">
            <v>480</v>
          </cell>
          <cell r="O744" t="str">
            <v>200</v>
          </cell>
          <cell r="AP744">
            <v>1276</v>
          </cell>
        </row>
        <row r="745">
          <cell r="C745">
            <v>44411</v>
          </cell>
          <cell r="N745">
            <v>480</v>
          </cell>
          <cell r="O745" t="str">
            <v>200</v>
          </cell>
          <cell r="AP745">
            <v>1532</v>
          </cell>
        </row>
        <row r="746">
          <cell r="C746">
            <v>44411</v>
          </cell>
          <cell r="N746">
            <v>480</v>
          </cell>
          <cell r="O746" t="str">
            <v>200</v>
          </cell>
          <cell r="AP746">
            <v>1440</v>
          </cell>
        </row>
        <row r="747">
          <cell r="C747">
            <v>44411</v>
          </cell>
          <cell r="N747">
            <v>480</v>
          </cell>
          <cell r="O747" t="str">
            <v>200</v>
          </cell>
          <cell r="AP747">
            <v>1189</v>
          </cell>
        </row>
        <row r="748">
          <cell r="C748">
            <v>44411</v>
          </cell>
          <cell r="N748">
            <v>480</v>
          </cell>
          <cell r="O748" t="str">
            <v>200</v>
          </cell>
          <cell r="AP748">
            <v>1435</v>
          </cell>
        </row>
        <row r="749">
          <cell r="C749">
            <v>44411</v>
          </cell>
          <cell r="N749">
            <v>480</v>
          </cell>
          <cell r="O749" t="str">
            <v>200</v>
          </cell>
          <cell r="AP749">
            <v>1440</v>
          </cell>
        </row>
        <row r="750">
          <cell r="C750">
            <v>44411</v>
          </cell>
          <cell r="N750">
            <v>480</v>
          </cell>
          <cell r="O750" t="str">
            <v>200</v>
          </cell>
          <cell r="AP750">
            <v>1192</v>
          </cell>
        </row>
        <row r="751">
          <cell r="C751">
            <v>44411</v>
          </cell>
          <cell r="N751">
            <v>480</v>
          </cell>
          <cell r="O751" t="str">
            <v>200</v>
          </cell>
          <cell r="AP751">
            <v>1437</v>
          </cell>
        </row>
        <row r="752">
          <cell r="C752">
            <v>44411</v>
          </cell>
          <cell r="N752">
            <v>480</v>
          </cell>
          <cell r="O752" t="str">
            <v>200</v>
          </cell>
          <cell r="AP752">
            <v>1407</v>
          </cell>
        </row>
        <row r="753">
          <cell r="C753">
            <v>44411</v>
          </cell>
          <cell r="N753">
            <v>480</v>
          </cell>
          <cell r="O753" t="str">
            <v>200</v>
          </cell>
          <cell r="AP753">
            <v>1163</v>
          </cell>
        </row>
        <row r="754">
          <cell r="C754">
            <v>44411</v>
          </cell>
          <cell r="N754">
            <v>480</v>
          </cell>
          <cell r="O754" t="str">
            <v>200</v>
          </cell>
          <cell r="AP754">
            <v>1399</v>
          </cell>
        </row>
        <row r="755">
          <cell r="C755">
            <v>44411</v>
          </cell>
          <cell r="N755">
            <v>480</v>
          </cell>
          <cell r="O755" t="str">
            <v>200</v>
          </cell>
          <cell r="AP755">
            <v>1477</v>
          </cell>
        </row>
        <row r="756">
          <cell r="C756">
            <v>44411</v>
          </cell>
          <cell r="N756">
            <v>480</v>
          </cell>
          <cell r="O756" t="str">
            <v>200</v>
          </cell>
          <cell r="AP756">
            <v>1219</v>
          </cell>
        </row>
        <row r="757">
          <cell r="C757">
            <v>44411</v>
          </cell>
          <cell r="N757">
            <v>480</v>
          </cell>
          <cell r="O757" t="str">
            <v>200</v>
          </cell>
          <cell r="AP757">
            <v>1486</v>
          </cell>
        </row>
        <row r="758">
          <cell r="C758">
            <v>44411</v>
          </cell>
          <cell r="N758">
            <v>480</v>
          </cell>
          <cell r="O758" t="str">
            <v>200</v>
          </cell>
          <cell r="AP758">
            <v>1386</v>
          </cell>
        </row>
        <row r="759">
          <cell r="C759">
            <v>44411</v>
          </cell>
          <cell r="N759">
            <v>480</v>
          </cell>
          <cell r="O759" t="str">
            <v>200</v>
          </cell>
          <cell r="AP759">
            <v>1395</v>
          </cell>
        </row>
        <row r="760">
          <cell r="C760">
            <v>44411</v>
          </cell>
          <cell r="N760">
            <v>480</v>
          </cell>
          <cell r="O760" t="str">
            <v>200</v>
          </cell>
          <cell r="AP760">
            <v>1387</v>
          </cell>
        </row>
        <row r="761">
          <cell r="C761">
            <v>44411</v>
          </cell>
          <cell r="N761">
            <v>480</v>
          </cell>
          <cell r="O761" t="str">
            <v>200</v>
          </cell>
          <cell r="AP761">
            <v>1457</v>
          </cell>
        </row>
        <row r="762">
          <cell r="C762">
            <v>44411</v>
          </cell>
          <cell r="N762">
            <v>480</v>
          </cell>
          <cell r="O762" t="str">
            <v>200</v>
          </cell>
          <cell r="AP762">
            <v>1459</v>
          </cell>
        </row>
        <row r="763">
          <cell r="C763">
            <v>44411</v>
          </cell>
          <cell r="N763">
            <v>480</v>
          </cell>
          <cell r="O763" t="str">
            <v>200</v>
          </cell>
          <cell r="AP763">
            <v>1453</v>
          </cell>
        </row>
        <row r="764">
          <cell r="C764">
            <v>44411</v>
          </cell>
          <cell r="N764">
            <v>480</v>
          </cell>
          <cell r="O764" t="str">
            <v>200</v>
          </cell>
          <cell r="AP764">
            <v>1387</v>
          </cell>
        </row>
        <row r="765">
          <cell r="C765">
            <v>44411</v>
          </cell>
          <cell r="N765">
            <v>480</v>
          </cell>
          <cell r="O765" t="str">
            <v>200</v>
          </cell>
          <cell r="AP765">
            <v>1390</v>
          </cell>
        </row>
        <row r="766">
          <cell r="C766">
            <v>44411</v>
          </cell>
          <cell r="N766">
            <v>480</v>
          </cell>
          <cell r="O766" t="str">
            <v>200</v>
          </cell>
          <cell r="AP766">
            <v>1383</v>
          </cell>
        </row>
        <row r="767">
          <cell r="C767">
            <v>44411</v>
          </cell>
          <cell r="N767">
            <v>480</v>
          </cell>
          <cell r="O767" t="str">
            <v>200</v>
          </cell>
          <cell r="AP767">
            <v>1004</v>
          </cell>
        </row>
        <row r="768">
          <cell r="C768">
            <v>44411</v>
          </cell>
          <cell r="N768">
            <v>480</v>
          </cell>
          <cell r="O768" t="str">
            <v>200</v>
          </cell>
          <cell r="AP768">
            <v>1037</v>
          </cell>
        </row>
        <row r="769">
          <cell r="C769">
            <v>44411</v>
          </cell>
          <cell r="N769">
            <v>480</v>
          </cell>
          <cell r="O769" t="str">
            <v>200</v>
          </cell>
          <cell r="AP769">
            <v>1035</v>
          </cell>
        </row>
        <row r="770">
          <cell r="C770">
            <v>44411</v>
          </cell>
          <cell r="N770">
            <v>480</v>
          </cell>
          <cell r="O770" t="str">
            <v>200</v>
          </cell>
          <cell r="AP770">
            <v>1031</v>
          </cell>
        </row>
        <row r="771">
          <cell r="C771">
            <v>44411</v>
          </cell>
          <cell r="N771">
            <v>480</v>
          </cell>
          <cell r="O771" t="str">
            <v>200</v>
          </cell>
          <cell r="AP771">
            <v>1029</v>
          </cell>
        </row>
        <row r="772">
          <cell r="C772">
            <v>44411</v>
          </cell>
          <cell r="N772">
            <v>480</v>
          </cell>
          <cell r="O772" t="str">
            <v>200</v>
          </cell>
          <cell r="AP772">
            <v>1034</v>
          </cell>
        </row>
        <row r="773">
          <cell r="C773">
            <v>44411</v>
          </cell>
          <cell r="N773">
            <v>480</v>
          </cell>
          <cell r="O773" t="str">
            <v>200</v>
          </cell>
          <cell r="AP773">
            <v>1032</v>
          </cell>
        </row>
        <row r="774">
          <cell r="C774">
            <v>44411</v>
          </cell>
          <cell r="N774">
            <v>480</v>
          </cell>
          <cell r="O774" t="str">
            <v>200</v>
          </cell>
          <cell r="AP774">
            <v>1030</v>
          </cell>
        </row>
        <row r="775">
          <cell r="C775">
            <v>44411</v>
          </cell>
          <cell r="N775">
            <v>480</v>
          </cell>
          <cell r="O775" t="str">
            <v>200</v>
          </cell>
          <cell r="AP775">
            <v>1032</v>
          </cell>
        </row>
        <row r="776">
          <cell r="C776">
            <v>44411</v>
          </cell>
          <cell r="N776">
            <v>480</v>
          </cell>
          <cell r="O776" t="str">
            <v>200</v>
          </cell>
          <cell r="AP776">
            <v>1037</v>
          </cell>
        </row>
        <row r="777">
          <cell r="C777">
            <v>44411</v>
          </cell>
          <cell r="N777">
            <v>480</v>
          </cell>
          <cell r="O777" t="str">
            <v>200</v>
          </cell>
          <cell r="AP777">
            <v>1037</v>
          </cell>
        </row>
        <row r="778">
          <cell r="C778">
            <v>44411</v>
          </cell>
          <cell r="N778">
            <v>480</v>
          </cell>
          <cell r="O778" t="str">
            <v>200</v>
          </cell>
          <cell r="AP778">
            <v>1033</v>
          </cell>
        </row>
        <row r="779">
          <cell r="C779">
            <v>44411</v>
          </cell>
          <cell r="N779">
            <v>475</v>
          </cell>
          <cell r="O779" t="str">
            <v>200</v>
          </cell>
          <cell r="AP779">
            <v>950</v>
          </cell>
        </row>
        <row r="780">
          <cell r="C780">
            <v>44411</v>
          </cell>
          <cell r="N780">
            <v>475</v>
          </cell>
          <cell r="O780" t="str">
            <v>200</v>
          </cell>
          <cell r="AP780">
            <v>913</v>
          </cell>
        </row>
        <row r="781">
          <cell r="C781">
            <v>44411</v>
          </cell>
          <cell r="N781">
            <v>475</v>
          </cell>
          <cell r="O781" t="str">
            <v>200</v>
          </cell>
          <cell r="AP781">
            <v>815</v>
          </cell>
        </row>
        <row r="782">
          <cell r="C782">
            <v>44411</v>
          </cell>
          <cell r="N782">
            <v>475</v>
          </cell>
          <cell r="O782" t="str">
            <v>200</v>
          </cell>
          <cell r="AP782">
            <v>1231</v>
          </cell>
        </row>
        <row r="783">
          <cell r="C783">
            <v>44411</v>
          </cell>
          <cell r="N783">
            <v>475</v>
          </cell>
          <cell r="O783" t="str">
            <v>200</v>
          </cell>
          <cell r="AP783">
            <v>993</v>
          </cell>
        </row>
        <row r="784">
          <cell r="C784">
            <v>44411</v>
          </cell>
          <cell r="N784">
            <v>475</v>
          </cell>
          <cell r="O784" t="str">
            <v>200</v>
          </cell>
          <cell r="AP784">
            <v>954</v>
          </cell>
        </row>
        <row r="785">
          <cell r="C785">
            <v>44411</v>
          </cell>
          <cell r="N785">
            <v>475</v>
          </cell>
          <cell r="O785" t="str">
            <v>200</v>
          </cell>
          <cell r="AP785">
            <v>867</v>
          </cell>
        </row>
        <row r="786">
          <cell r="C786">
            <v>44411</v>
          </cell>
          <cell r="N786">
            <v>475</v>
          </cell>
          <cell r="O786" t="str">
            <v>200</v>
          </cell>
          <cell r="AP786">
            <v>1294</v>
          </cell>
        </row>
        <row r="787">
          <cell r="C787">
            <v>44411</v>
          </cell>
          <cell r="N787">
            <v>475</v>
          </cell>
          <cell r="O787" t="str">
            <v>200</v>
          </cell>
          <cell r="AP787">
            <v>969</v>
          </cell>
        </row>
        <row r="788">
          <cell r="C788">
            <v>44411</v>
          </cell>
          <cell r="N788">
            <v>475</v>
          </cell>
          <cell r="O788" t="str">
            <v>200</v>
          </cell>
          <cell r="AP788">
            <v>926</v>
          </cell>
        </row>
        <row r="789">
          <cell r="C789">
            <v>44411</v>
          </cell>
          <cell r="N789">
            <v>475</v>
          </cell>
          <cell r="O789" t="str">
            <v>200</v>
          </cell>
          <cell r="AP789">
            <v>843</v>
          </cell>
        </row>
        <row r="790">
          <cell r="C790">
            <v>44411</v>
          </cell>
          <cell r="N790">
            <v>475</v>
          </cell>
          <cell r="O790" t="str">
            <v>200</v>
          </cell>
          <cell r="AP790">
            <v>1272</v>
          </cell>
        </row>
        <row r="791">
          <cell r="C791">
            <v>44411</v>
          </cell>
          <cell r="N791">
            <v>475</v>
          </cell>
          <cell r="O791" t="str">
            <v>200</v>
          </cell>
          <cell r="AP791">
            <v>976</v>
          </cell>
        </row>
        <row r="792">
          <cell r="C792">
            <v>44411</v>
          </cell>
          <cell r="N792">
            <v>475</v>
          </cell>
          <cell r="O792" t="str">
            <v>200</v>
          </cell>
          <cell r="AP792">
            <v>939</v>
          </cell>
        </row>
        <row r="793">
          <cell r="C793">
            <v>44411</v>
          </cell>
          <cell r="N793">
            <v>475</v>
          </cell>
          <cell r="O793" t="str">
            <v>200</v>
          </cell>
          <cell r="AP793">
            <v>853</v>
          </cell>
        </row>
        <row r="794">
          <cell r="C794">
            <v>44411</v>
          </cell>
          <cell r="N794">
            <v>475</v>
          </cell>
          <cell r="O794" t="str">
            <v>200</v>
          </cell>
          <cell r="AP794">
            <v>1273</v>
          </cell>
        </row>
        <row r="795">
          <cell r="C795">
            <v>44411</v>
          </cell>
          <cell r="N795">
            <v>475</v>
          </cell>
          <cell r="O795" t="str">
            <v>200</v>
          </cell>
          <cell r="AP795">
            <v>985</v>
          </cell>
        </row>
        <row r="796">
          <cell r="C796">
            <v>44411</v>
          </cell>
          <cell r="N796">
            <v>475</v>
          </cell>
          <cell r="O796" t="str">
            <v>200</v>
          </cell>
          <cell r="AP796">
            <v>945</v>
          </cell>
        </row>
        <row r="797">
          <cell r="C797">
            <v>44411</v>
          </cell>
          <cell r="N797">
            <v>475</v>
          </cell>
          <cell r="O797" t="str">
            <v>200</v>
          </cell>
          <cell r="AP797">
            <v>860</v>
          </cell>
        </row>
        <row r="798">
          <cell r="C798">
            <v>44411</v>
          </cell>
          <cell r="N798">
            <v>475</v>
          </cell>
          <cell r="O798" t="str">
            <v>200</v>
          </cell>
          <cell r="AP798">
            <v>1280</v>
          </cell>
        </row>
        <row r="799">
          <cell r="C799">
            <v>44411</v>
          </cell>
          <cell r="N799">
            <v>476</v>
          </cell>
          <cell r="O799" t="str">
            <v>200</v>
          </cell>
          <cell r="AP799">
            <v>1026</v>
          </cell>
        </row>
        <row r="800">
          <cell r="C800">
            <v>44411</v>
          </cell>
          <cell r="N800">
            <v>476</v>
          </cell>
          <cell r="O800" t="str">
            <v>200</v>
          </cell>
          <cell r="AP800">
            <v>924</v>
          </cell>
        </row>
        <row r="801">
          <cell r="C801">
            <v>44411</v>
          </cell>
          <cell r="N801">
            <v>476</v>
          </cell>
          <cell r="O801" t="str">
            <v>200</v>
          </cell>
          <cell r="AP801">
            <v>926</v>
          </cell>
        </row>
        <row r="802">
          <cell r="C802">
            <v>44411</v>
          </cell>
          <cell r="N802">
            <v>476</v>
          </cell>
          <cell r="O802" t="str">
            <v>200</v>
          </cell>
          <cell r="AP802">
            <v>1195</v>
          </cell>
        </row>
        <row r="803">
          <cell r="C803">
            <v>44411</v>
          </cell>
          <cell r="N803">
            <v>476</v>
          </cell>
          <cell r="O803" t="str">
            <v>200</v>
          </cell>
          <cell r="AP803">
            <v>989</v>
          </cell>
        </row>
        <row r="804">
          <cell r="C804">
            <v>44411</v>
          </cell>
          <cell r="N804">
            <v>476</v>
          </cell>
          <cell r="O804" t="str">
            <v>200</v>
          </cell>
          <cell r="AP804">
            <v>897</v>
          </cell>
        </row>
        <row r="805">
          <cell r="C805">
            <v>44411</v>
          </cell>
          <cell r="N805">
            <v>476</v>
          </cell>
          <cell r="O805" t="str">
            <v>200</v>
          </cell>
          <cell r="AP805">
            <v>894</v>
          </cell>
        </row>
        <row r="806">
          <cell r="C806">
            <v>44411</v>
          </cell>
          <cell r="N806">
            <v>476</v>
          </cell>
          <cell r="O806" t="str">
            <v>200</v>
          </cell>
          <cell r="AP806">
            <v>1150</v>
          </cell>
        </row>
        <row r="807">
          <cell r="C807">
            <v>44411</v>
          </cell>
          <cell r="N807">
            <v>484</v>
          </cell>
          <cell r="O807" t="str">
            <v>175</v>
          </cell>
          <cell r="AP807">
            <v>1410</v>
          </cell>
        </row>
        <row r="808">
          <cell r="C808">
            <v>44411</v>
          </cell>
          <cell r="N808">
            <v>484</v>
          </cell>
          <cell r="O808" t="str">
            <v>175</v>
          </cell>
          <cell r="AP808">
            <v>1374</v>
          </cell>
        </row>
        <row r="809">
          <cell r="C809">
            <v>44411</v>
          </cell>
          <cell r="N809">
            <v>484</v>
          </cell>
          <cell r="O809" t="str">
            <v>175</v>
          </cell>
          <cell r="AP809">
            <v>1407</v>
          </cell>
        </row>
        <row r="810">
          <cell r="C810">
            <v>44411</v>
          </cell>
          <cell r="N810">
            <v>484</v>
          </cell>
          <cell r="O810" t="str">
            <v>175</v>
          </cell>
          <cell r="AP810">
            <v>1452</v>
          </cell>
        </row>
        <row r="811">
          <cell r="C811">
            <v>44411</v>
          </cell>
          <cell r="N811">
            <v>484</v>
          </cell>
          <cell r="O811" t="str">
            <v>175</v>
          </cell>
          <cell r="AP811">
            <v>1416</v>
          </cell>
        </row>
        <row r="812">
          <cell r="C812">
            <v>44411</v>
          </cell>
          <cell r="N812">
            <v>484</v>
          </cell>
          <cell r="O812" t="str">
            <v>175</v>
          </cell>
          <cell r="AP812">
            <v>1448</v>
          </cell>
        </row>
        <row r="813">
          <cell r="C813">
            <v>44411</v>
          </cell>
          <cell r="N813">
            <v>484</v>
          </cell>
          <cell r="O813" t="str">
            <v>175</v>
          </cell>
          <cell r="AP813">
            <v>1447</v>
          </cell>
        </row>
        <row r="814">
          <cell r="C814">
            <v>44411</v>
          </cell>
          <cell r="N814">
            <v>484</v>
          </cell>
          <cell r="O814" t="str">
            <v>175</v>
          </cell>
          <cell r="AP814">
            <v>1411</v>
          </cell>
        </row>
        <row r="815">
          <cell r="C815">
            <v>44411</v>
          </cell>
          <cell r="N815">
            <v>484</v>
          </cell>
          <cell r="O815" t="str">
            <v>175</v>
          </cell>
          <cell r="AP815">
            <v>1446</v>
          </cell>
        </row>
        <row r="816">
          <cell r="C816">
            <v>44411</v>
          </cell>
          <cell r="N816">
            <v>485</v>
          </cell>
          <cell r="O816" t="str">
            <v>170</v>
          </cell>
          <cell r="AP816">
            <v>1367</v>
          </cell>
        </row>
        <row r="817">
          <cell r="C817">
            <v>44411</v>
          </cell>
          <cell r="N817">
            <v>485</v>
          </cell>
          <cell r="O817" t="str">
            <v>170</v>
          </cell>
          <cell r="AP817">
            <v>1701</v>
          </cell>
        </row>
        <row r="818">
          <cell r="C818">
            <v>44411</v>
          </cell>
          <cell r="N818">
            <v>485</v>
          </cell>
          <cell r="O818" t="str">
            <v>170</v>
          </cell>
          <cell r="AP818">
            <v>1371</v>
          </cell>
        </row>
        <row r="819">
          <cell r="C819">
            <v>44411</v>
          </cell>
          <cell r="N819">
            <v>476</v>
          </cell>
          <cell r="O819" t="str">
            <v>200</v>
          </cell>
          <cell r="AP819">
            <v>1080</v>
          </cell>
        </row>
        <row r="820">
          <cell r="C820">
            <v>44411</v>
          </cell>
          <cell r="N820">
            <v>476</v>
          </cell>
          <cell r="O820" t="str">
            <v>200</v>
          </cell>
          <cell r="AP820">
            <v>997</v>
          </cell>
        </row>
        <row r="821">
          <cell r="C821">
            <v>44411</v>
          </cell>
          <cell r="N821">
            <v>476</v>
          </cell>
          <cell r="O821" t="str">
            <v>200</v>
          </cell>
          <cell r="AP821">
            <v>975</v>
          </cell>
        </row>
        <row r="822">
          <cell r="C822">
            <v>44411</v>
          </cell>
          <cell r="N822">
            <v>476</v>
          </cell>
          <cell r="O822" t="str">
            <v>200</v>
          </cell>
          <cell r="AP822">
            <v>1259</v>
          </cell>
        </row>
        <row r="823">
          <cell r="C823">
            <v>44411</v>
          </cell>
          <cell r="N823">
            <v>476</v>
          </cell>
          <cell r="O823" t="str">
            <v>200</v>
          </cell>
          <cell r="AP823">
            <v>1042</v>
          </cell>
        </row>
        <row r="824">
          <cell r="C824">
            <v>44411</v>
          </cell>
          <cell r="N824">
            <v>476</v>
          </cell>
          <cell r="O824" t="str">
            <v>200</v>
          </cell>
          <cell r="AP824">
            <v>941</v>
          </cell>
        </row>
        <row r="825">
          <cell r="C825">
            <v>44411</v>
          </cell>
          <cell r="N825">
            <v>476</v>
          </cell>
          <cell r="O825" t="str">
            <v>200</v>
          </cell>
          <cell r="AP825">
            <v>940</v>
          </cell>
        </row>
        <row r="826">
          <cell r="C826">
            <v>44411</v>
          </cell>
          <cell r="N826">
            <v>476</v>
          </cell>
          <cell r="O826" t="str">
            <v>200</v>
          </cell>
          <cell r="AP826">
            <v>1210</v>
          </cell>
        </row>
        <row r="827">
          <cell r="C827">
            <v>44411</v>
          </cell>
          <cell r="N827">
            <v>476</v>
          </cell>
          <cell r="O827" t="str">
            <v>200</v>
          </cell>
          <cell r="AP827">
            <v>1051</v>
          </cell>
        </row>
        <row r="828">
          <cell r="C828">
            <v>44411</v>
          </cell>
          <cell r="N828">
            <v>476</v>
          </cell>
          <cell r="O828" t="str">
            <v>200</v>
          </cell>
          <cell r="AP828">
            <v>949</v>
          </cell>
        </row>
        <row r="829">
          <cell r="C829">
            <v>44411</v>
          </cell>
          <cell r="N829">
            <v>476</v>
          </cell>
          <cell r="O829" t="str">
            <v>200</v>
          </cell>
          <cell r="AP829">
            <v>948</v>
          </cell>
        </row>
        <row r="830">
          <cell r="C830">
            <v>44411</v>
          </cell>
          <cell r="N830">
            <v>476</v>
          </cell>
          <cell r="O830" t="str">
            <v>200</v>
          </cell>
          <cell r="AP830">
            <v>1220</v>
          </cell>
        </row>
        <row r="831">
          <cell r="C831">
            <v>44411</v>
          </cell>
          <cell r="N831">
            <v>485</v>
          </cell>
          <cell r="O831" t="str">
            <v>225</v>
          </cell>
          <cell r="AP831">
            <v>1605</v>
          </cell>
        </row>
        <row r="832">
          <cell r="C832">
            <v>44411</v>
          </cell>
          <cell r="N832">
            <v>485</v>
          </cell>
          <cell r="O832" t="str">
            <v>225</v>
          </cell>
          <cell r="AP832">
            <v>1119</v>
          </cell>
        </row>
        <row r="833">
          <cell r="C833">
            <v>44411</v>
          </cell>
          <cell r="N833">
            <v>485</v>
          </cell>
          <cell r="O833" t="str">
            <v>225</v>
          </cell>
          <cell r="AP833">
            <v>1609</v>
          </cell>
        </row>
        <row r="834">
          <cell r="C834">
            <v>44411</v>
          </cell>
          <cell r="N834">
            <v>485</v>
          </cell>
          <cell r="O834" t="str">
            <v>225</v>
          </cell>
          <cell r="AP834">
            <v>1578</v>
          </cell>
        </row>
        <row r="835">
          <cell r="C835">
            <v>44411</v>
          </cell>
          <cell r="N835">
            <v>485</v>
          </cell>
          <cell r="O835" t="str">
            <v>225</v>
          </cell>
          <cell r="AP835">
            <v>1098</v>
          </cell>
        </row>
        <row r="836">
          <cell r="C836">
            <v>44411</v>
          </cell>
          <cell r="N836">
            <v>485</v>
          </cell>
          <cell r="O836" t="str">
            <v>225</v>
          </cell>
          <cell r="AP836">
            <v>1576</v>
          </cell>
        </row>
        <row r="837">
          <cell r="C837">
            <v>44411</v>
          </cell>
          <cell r="N837">
            <v>485</v>
          </cell>
          <cell r="O837" t="str">
            <v>225</v>
          </cell>
          <cell r="AP837">
            <v>1540</v>
          </cell>
        </row>
        <row r="838">
          <cell r="C838">
            <v>44411</v>
          </cell>
          <cell r="N838">
            <v>485</v>
          </cell>
          <cell r="O838" t="str">
            <v>225</v>
          </cell>
          <cell r="AP838">
            <v>1073</v>
          </cell>
        </row>
        <row r="839">
          <cell r="C839">
            <v>44411</v>
          </cell>
          <cell r="N839">
            <v>485</v>
          </cell>
          <cell r="O839" t="str">
            <v>225</v>
          </cell>
          <cell r="AP839">
            <v>1543</v>
          </cell>
        </row>
        <row r="840">
          <cell r="C840">
            <v>44411</v>
          </cell>
          <cell r="N840">
            <v>485</v>
          </cell>
          <cell r="O840" t="str">
            <v>225</v>
          </cell>
          <cell r="AP840">
            <v>1515</v>
          </cell>
        </row>
        <row r="841">
          <cell r="C841">
            <v>44411</v>
          </cell>
          <cell r="N841">
            <v>485</v>
          </cell>
          <cell r="O841" t="str">
            <v>225</v>
          </cell>
          <cell r="AP841">
            <v>1053</v>
          </cell>
        </row>
        <row r="842">
          <cell r="C842">
            <v>44411</v>
          </cell>
          <cell r="N842">
            <v>485</v>
          </cell>
          <cell r="O842" t="str">
            <v>225</v>
          </cell>
          <cell r="AP842">
            <v>1511</v>
          </cell>
        </row>
        <row r="843">
          <cell r="C843">
            <v>44411</v>
          </cell>
          <cell r="N843">
            <v>485</v>
          </cell>
          <cell r="O843" t="str">
            <v>225</v>
          </cell>
          <cell r="AP843">
            <v>1511</v>
          </cell>
        </row>
        <row r="844">
          <cell r="C844">
            <v>44411</v>
          </cell>
          <cell r="N844">
            <v>485</v>
          </cell>
          <cell r="O844" t="str">
            <v>225</v>
          </cell>
          <cell r="AP844">
            <v>1049</v>
          </cell>
        </row>
        <row r="845">
          <cell r="C845">
            <v>44411</v>
          </cell>
          <cell r="N845">
            <v>485</v>
          </cell>
          <cell r="O845" t="str">
            <v>225</v>
          </cell>
          <cell r="AP845">
            <v>1508</v>
          </cell>
        </row>
        <row r="846">
          <cell r="C846">
            <v>44411</v>
          </cell>
          <cell r="N846">
            <v>485</v>
          </cell>
          <cell r="O846" t="str">
            <v>225</v>
          </cell>
          <cell r="AP846">
            <v>1470</v>
          </cell>
        </row>
        <row r="847">
          <cell r="C847">
            <v>44411</v>
          </cell>
          <cell r="N847">
            <v>485</v>
          </cell>
          <cell r="O847" t="str">
            <v>225</v>
          </cell>
          <cell r="AP847">
            <v>1024</v>
          </cell>
        </row>
        <row r="848">
          <cell r="C848">
            <v>44411</v>
          </cell>
          <cell r="N848">
            <v>485</v>
          </cell>
          <cell r="O848" t="str">
            <v>225</v>
          </cell>
          <cell r="AP848">
            <v>1466</v>
          </cell>
        </row>
        <row r="849">
          <cell r="C849">
            <v>44411</v>
          </cell>
          <cell r="N849">
            <v>485</v>
          </cell>
          <cell r="O849" t="str">
            <v>225</v>
          </cell>
          <cell r="AP849">
            <v>1611</v>
          </cell>
        </row>
        <row r="850">
          <cell r="C850">
            <v>44411</v>
          </cell>
          <cell r="N850">
            <v>485</v>
          </cell>
          <cell r="O850" t="str">
            <v>225</v>
          </cell>
          <cell r="AP850">
            <v>1123</v>
          </cell>
        </row>
        <row r="851">
          <cell r="C851">
            <v>44411</v>
          </cell>
          <cell r="N851">
            <v>485</v>
          </cell>
          <cell r="O851" t="str">
            <v>225</v>
          </cell>
          <cell r="AP851">
            <v>1610</v>
          </cell>
        </row>
        <row r="852">
          <cell r="C852">
            <v>44411</v>
          </cell>
          <cell r="N852">
            <v>485</v>
          </cell>
          <cell r="O852" t="str">
            <v>225</v>
          </cell>
          <cell r="AP852">
            <v>1562</v>
          </cell>
        </row>
        <row r="853">
          <cell r="C853">
            <v>44411</v>
          </cell>
          <cell r="N853">
            <v>485</v>
          </cell>
          <cell r="O853" t="str">
            <v>225</v>
          </cell>
          <cell r="AP853">
            <v>1086</v>
          </cell>
        </row>
        <row r="854">
          <cell r="C854">
            <v>44411</v>
          </cell>
          <cell r="N854">
            <v>485</v>
          </cell>
          <cell r="O854" t="str">
            <v>225</v>
          </cell>
          <cell r="AP854">
            <v>1560</v>
          </cell>
        </row>
        <row r="855">
          <cell r="C855">
            <v>44411</v>
          </cell>
          <cell r="N855">
            <v>485</v>
          </cell>
          <cell r="O855" t="str">
            <v>225</v>
          </cell>
          <cell r="AP855">
            <v>1565</v>
          </cell>
        </row>
        <row r="856">
          <cell r="C856">
            <v>44411</v>
          </cell>
          <cell r="N856">
            <v>485</v>
          </cell>
          <cell r="O856" t="str">
            <v>225</v>
          </cell>
          <cell r="AP856">
            <v>1091</v>
          </cell>
        </row>
        <row r="857">
          <cell r="C857">
            <v>44411</v>
          </cell>
          <cell r="N857">
            <v>485</v>
          </cell>
          <cell r="O857" t="str">
            <v>225</v>
          </cell>
          <cell r="AP857">
            <v>1564</v>
          </cell>
        </row>
        <row r="858">
          <cell r="C858">
            <v>44411</v>
          </cell>
          <cell r="N858">
            <v>485</v>
          </cell>
          <cell r="O858" t="str">
            <v>225</v>
          </cell>
          <cell r="AP858">
            <v>1589</v>
          </cell>
        </row>
        <row r="859">
          <cell r="C859">
            <v>44411</v>
          </cell>
          <cell r="N859">
            <v>485</v>
          </cell>
          <cell r="O859" t="str">
            <v>225</v>
          </cell>
          <cell r="AP859">
            <v>1110</v>
          </cell>
        </row>
        <row r="860">
          <cell r="C860">
            <v>44411</v>
          </cell>
          <cell r="N860">
            <v>485</v>
          </cell>
          <cell r="O860" t="str">
            <v>225</v>
          </cell>
          <cell r="AP860">
            <v>1597</v>
          </cell>
        </row>
        <row r="861">
          <cell r="C861">
            <v>44411</v>
          </cell>
          <cell r="N861">
            <v>488</v>
          </cell>
          <cell r="O861" t="str">
            <v>235</v>
          </cell>
          <cell r="AP861">
            <v>1015</v>
          </cell>
        </row>
        <row r="862">
          <cell r="C862">
            <v>44411</v>
          </cell>
          <cell r="N862">
            <v>488</v>
          </cell>
          <cell r="O862" t="str">
            <v>235</v>
          </cell>
          <cell r="AP862">
            <v>776</v>
          </cell>
        </row>
        <row r="863">
          <cell r="C863">
            <v>44411</v>
          </cell>
          <cell r="N863">
            <v>488</v>
          </cell>
          <cell r="O863" t="str">
            <v>235</v>
          </cell>
          <cell r="AP863">
            <v>776</v>
          </cell>
        </row>
        <row r="864">
          <cell r="C864">
            <v>44411</v>
          </cell>
          <cell r="N864">
            <v>488</v>
          </cell>
          <cell r="O864" t="str">
            <v>235</v>
          </cell>
          <cell r="AP864">
            <v>771</v>
          </cell>
        </row>
        <row r="865">
          <cell r="C865">
            <v>44411</v>
          </cell>
          <cell r="N865">
            <v>488</v>
          </cell>
          <cell r="O865" t="str">
            <v>235</v>
          </cell>
          <cell r="AP865">
            <v>947</v>
          </cell>
        </row>
        <row r="866">
          <cell r="C866">
            <v>44411</v>
          </cell>
          <cell r="N866">
            <v>488</v>
          </cell>
          <cell r="O866" t="str">
            <v>235</v>
          </cell>
          <cell r="AP866">
            <v>995</v>
          </cell>
        </row>
        <row r="867">
          <cell r="C867">
            <v>44411</v>
          </cell>
          <cell r="N867">
            <v>488</v>
          </cell>
          <cell r="O867" t="str">
            <v>235</v>
          </cell>
          <cell r="AP867">
            <v>758</v>
          </cell>
        </row>
        <row r="868">
          <cell r="C868">
            <v>44411</v>
          </cell>
          <cell r="N868">
            <v>488</v>
          </cell>
          <cell r="O868" t="str">
            <v>235</v>
          </cell>
          <cell r="AP868">
            <v>756</v>
          </cell>
        </row>
        <row r="869">
          <cell r="C869">
            <v>44411</v>
          </cell>
          <cell r="N869">
            <v>488</v>
          </cell>
          <cell r="O869" t="str">
            <v>235</v>
          </cell>
          <cell r="AP869">
            <v>757</v>
          </cell>
        </row>
        <row r="870">
          <cell r="C870">
            <v>44411</v>
          </cell>
          <cell r="N870">
            <v>488</v>
          </cell>
          <cell r="O870" t="str">
            <v>235</v>
          </cell>
          <cell r="AP870">
            <v>927</v>
          </cell>
        </row>
        <row r="871">
          <cell r="C871">
            <v>44411</v>
          </cell>
          <cell r="N871">
            <v>488</v>
          </cell>
          <cell r="O871" t="str">
            <v>235</v>
          </cell>
          <cell r="AP871">
            <v>966</v>
          </cell>
        </row>
        <row r="872">
          <cell r="C872">
            <v>44411</v>
          </cell>
          <cell r="N872">
            <v>488</v>
          </cell>
          <cell r="O872" t="str">
            <v>235</v>
          </cell>
          <cell r="AP872">
            <v>736</v>
          </cell>
        </row>
        <row r="873">
          <cell r="C873">
            <v>44411</v>
          </cell>
          <cell r="N873">
            <v>488</v>
          </cell>
          <cell r="O873" t="str">
            <v>235</v>
          </cell>
          <cell r="AP873">
            <v>734</v>
          </cell>
        </row>
        <row r="874">
          <cell r="C874">
            <v>44411</v>
          </cell>
          <cell r="N874">
            <v>488</v>
          </cell>
          <cell r="O874" t="str">
            <v>235</v>
          </cell>
          <cell r="AP874">
            <v>735</v>
          </cell>
        </row>
        <row r="875">
          <cell r="C875">
            <v>44411</v>
          </cell>
          <cell r="N875">
            <v>488</v>
          </cell>
          <cell r="O875" t="str">
            <v>235</v>
          </cell>
          <cell r="AP875">
            <v>892</v>
          </cell>
        </row>
        <row r="876">
          <cell r="C876">
            <v>44411</v>
          </cell>
          <cell r="N876">
            <v>488</v>
          </cell>
          <cell r="O876" t="str">
            <v>235</v>
          </cell>
          <cell r="AP876">
            <v>960</v>
          </cell>
        </row>
        <row r="877">
          <cell r="C877">
            <v>44411</v>
          </cell>
          <cell r="N877">
            <v>488</v>
          </cell>
          <cell r="O877" t="str">
            <v>235</v>
          </cell>
          <cell r="AP877">
            <v>730</v>
          </cell>
        </row>
        <row r="878">
          <cell r="C878">
            <v>44411</v>
          </cell>
          <cell r="N878">
            <v>488</v>
          </cell>
          <cell r="O878" t="str">
            <v>235</v>
          </cell>
          <cell r="AP878">
            <v>730</v>
          </cell>
        </row>
        <row r="879">
          <cell r="C879">
            <v>44411</v>
          </cell>
          <cell r="N879">
            <v>488</v>
          </cell>
          <cell r="O879" t="str">
            <v>235</v>
          </cell>
          <cell r="AP879">
            <v>728</v>
          </cell>
        </row>
        <row r="880">
          <cell r="C880">
            <v>44411</v>
          </cell>
          <cell r="N880">
            <v>488</v>
          </cell>
          <cell r="O880" t="str">
            <v>235</v>
          </cell>
          <cell r="AP880">
            <v>898</v>
          </cell>
        </row>
        <row r="881">
          <cell r="C881">
            <v>44411</v>
          </cell>
          <cell r="N881">
            <v>488</v>
          </cell>
          <cell r="O881" t="str">
            <v>235</v>
          </cell>
          <cell r="AP881">
            <v>891</v>
          </cell>
        </row>
        <row r="882">
          <cell r="C882">
            <v>44411</v>
          </cell>
          <cell r="N882">
            <v>488</v>
          </cell>
          <cell r="O882" t="str">
            <v>235</v>
          </cell>
          <cell r="AP882">
            <v>717</v>
          </cell>
        </row>
        <row r="883">
          <cell r="C883">
            <v>44411</v>
          </cell>
          <cell r="N883">
            <v>488</v>
          </cell>
          <cell r="O883" t="str">
            <v>235</v>
          </cell>
          <cell r="AP883">
            <v>730</v>
          </cell>
        </row>
        <row r="884">
          <cell r="C884">
            <v>44411</v>
          </cell>
          <cell r="N884">
            <v>488</v>
          </cell>
          <cell r="O884" t="str">
            <v>235</v>
          </cell>
          <cell r="AP884">
            <v>727</v>
          </cell>
        </row>
        <row r="885">
          <cell r="C885">
            <v>44411</v>
          </cell>
          <cell r="N885">
            <v>488</v>
          </cell>
          <cell r="O885" t="str">
            <v>235</v>
          </cell>
          <cell r="AP885">
            <v>730</v>
          </cell>
        </row>
        <row r="886">
          <cell r="C886">
            <v>44411</v>
          </cell>
          <cell r="N886">
            <v>488</v>
          </cell>
          <cell r="O886" t="str">
            <v>235</v>
          </cell>
          <cell r="AP886">
            <v>945</v>
          </cell>
        </row>
        <row r="887">
          <cell r="C887">
            <v>44411</v>
          </cell>
          <cell r="N887">
            <v>488</v>
          </cell>
          <cell r="O887" t="str">
            <v>235</v>
          </cell>
          <cell r="AP887">
            <v>725</v>
          </cell>
        </row>
        <row r="888">
          <cell r="C888">
            <v>44411</v>
          </cell>
          <cell r="N888">
            <v>488</v>
          </cell>
          <cell r="O888" t="str">
            <v>235</v>
          </cell>
          <cell r="AP888">
            <v>715</v>
          </cell>
        </row>
        <row r="889">
          <cell r="C889">
            <v>44411</v>
          </cell>
          <cell r="N889">
            <v>488</v>
          </cell>
          <cell r="O889" t="str">
            <v>235</v>
          </cell>
          <cell r="AP889">
            <v>772</v>
          </cell>
        </row>
        <row r="890">
          <cell r="C890">
            <v>44411</v>
          </cell>
          <cell r="N890">
            <v>488</v>
          </cell>
          <cell r="O890" t="str">
            <v>235</v>
          </cell>
          <cell r="AP890">
            <v>878</v>
          </cell>
        </row>
        <row r="891">
          <cell r="C891">
            <v>44411</v>
          </cell>
          <cell r="N891">
            <v>488</v>
          </cell>
          <cell r="O891" t="str">
            <v>235</v>
          </cell>
          <cell r="AP891">
            <v>957</v>
          </cell>
        </row>
        <row r="892">
          <cell r="C892">
            <v>44411</v>
          </cell>
          <cell r="N892">
            <v>488</v>
          </cell>
          <cell r="O892" t="str">
            <v>235</v>
          </cell>
          <cell r="AP892">
            <v>718</v>
          </cell>
        </row>
        <row r="893">
          <cell r="C893">
            <v>44411</v>
          </cell>
          <cell r="N893">
            <v>488</v>
          </cell>
          <cell r="O893" t="str">
            <v>235</v>
          </cell>
          <cell r="AP893">
            <v>772</v>
          </cell>
        </row>
        <row r="894">
          <cell r="C894">
            <v>44411</v>
          </cell>
          <cell r="N894">
            <v>488</v>
          </cell>
          <cell r="O894" t="str">
            <v>235</v>
          </cell>
          <cell r="AP894">
            <v>773</v>
          </cell>
        </row>
        <row r="895">
          <cell r="C895">
            <v>44411</v>
          </cell>
          <cell r="N895">
            <v>488</v>
          </cell>
          <cell r="O895" t="str">
            <v>235</v>
          </cell>
          <cell r="AP895">
            <v>944</v>
          </cell>
        </row>
        <row r="896">
          <cell r="C896">
            <v>44411</v>
          </cell>
          <cell r="N896">
            <v>488</v>
          </cell>
          <cell r="O896" t="str">
            <v>235</v>
          </cell>
          <cell r="AP896">
            <v>876</v>
          </cell>
        </row>
        <row r="897">
          <cell r="C897">
            <v>44411</v>
          </cell>
          <cell r="N897">
            <v>488</v>
          </cell>
          <cell r="O897" t="str">
            <v>235</v>
          </cell>
          <cell r="AP897">
            <v>750</v>
          </cell>
        </row>
        <row r="898">
          <cell r="C898">
            <v>44411</v>
          </cell>
          <cell r="N898">
            <v>488</v>
          </cell>
          <cell r="O898" t="str">
            <v>235</v>
          </cell>
          <cell r="AP898">
            <v>728</v>
          </cell>
        </row>
        <row r="899">
          <cell r="C899">
            <v>44411</v>
          </cell>
          <cell r="N899">
            <v>488</v>
          </cell>
          <cell r="O899" t="str">
            <v>235</v>
          </cell>
          <cell r="AP899">
            <v>725</v>
          </cell>
        </row>
        <row r="900">
          <cell r="C900">
            <v>44411</v>
          </cell>
          <cell r="N900">
            <v>488</v>
          </cell>
          <cell r="O900" t="str">
            <v>235</v>
          </cell>
          <cell r="AP900">
            <v>983</v>
          </cell>
        </row>
        <row r="901">
          <cell r="C901">
            <v>44411</v>
          </cell>
          <cell r="N901">
            <v>488</v>
          </cell>
          <cell r="O901" t="str">
            <v>235</v>
          </cell>
          <cell r="AP901">
            <v>1016</v>
          </cell>
        </row>
        <row r="902">
          <cell r="C902">
            <v>44411</v>
          </cell>
          <cell r="N902">
            <v>488</v>
          </cell>
          <cell r="O902" t="str">
            <v>235</v>
          </cell>
          <cell r="AP902">
            <v>750</v>
          </cell>
        </row>
        <row r="903">
          <cell r="C903">
            <v>44411</v>
          </cell>
          <cell r="N903">
            <v>488</v>
          </cell>
          <cell r="O903" t="str">
            <v>235</v>
          </cell>
          <cell r="AP903">
            <v>751</v>
          </cell>
        </row>
        <row r="904">
          <cell r="C904">
            <v>44411</v>
          </cell>
          <cell r="N904">
            <v>488</v>
          </cell>
          <cell r="O904" t="str">
            <v>235</v>
          </cell>
          <cell r="AP904">
            <v>734</v>
          </cell>
        </row>
        <row r="905">
          <cell r="C905">
            <v>44411</v>
          </cell>
          <cell r="N905">
            <v>488</v>
          </cell>
          <cell r="O905" t="str">
            <v>235</v>
          </cell>
          <cell r="AP905">
            <v>918</v>
          </cell>
        </row>
        <row r="906">
          <cell r="C906">
            <v>44411</v>
          </cell>
          <cell r="N906">
            <v>488</v>
          </cell>
          <cell r="O906" t="str">
            <v>235</v>
          </cell>
          <cell r="AP906">
            <v>946</v>
          </cell>
        </row>
        <row r="907">
          <cell r="C907">
            <v>44411</v>
          </cell>
          <cell r="N907">
            <v>488</v>
          </cell>
          <cell r="O907" t="str">
            <v>235</v>
          </cell>
          <cell r="AP907">
            <v>721</v>
          </cell>
        </row>
        <row r="908">
          <cell r="C908">
            <v>44411</v>
          </cell>
          <cell r="N908">
            <v>488</v>
          </cell>
          <cell r="O908" t="str">
            <v>235</v>
          </cell>
          <cell r="AP908">
            <v>723</v>
          </cell>
        </row>
        <row r="909">
          <cell r="C909">
            <v>44411</v>
          </cell>
          <cell r="N909">
            <v>488</v>
          </cell>
          <cell r="O909" t="str">
            <v>235</v>
          </cell>
          <cell r="AP909">
            <v>720</v>
          </cell>
        </row>
        <row r="910">
          <cell r="C910">
            <v>44411</v>
          </cell>
          <cell r="N910">
            <v>488</v>
          </cell>
          <cell r="O910" t="str">
            <v>235</v>
          </cell>
          <cell r="AP910">
            <v>881</v>
          </cell>
        </row>
        <row r="911">
          <cell r="C911">
            <v>44411</v>
          </cell>
          <cell r="N911">
            <v>488</v>
          </cell>
          <cell r="O911" t="str">
            <v>235</v>
          </cell>
          <cell r="AP911">
            <v>948</v>
          </cell>
        </row>
        <row r="912">
          <cell r="C912">
            <v>44411</v>
          </cell>
          <cell r="N912">
            <v>488</v>
          </cell>
          <cell r="O912" t="str">
            <v>235</v>
          </cell>
          <cell r="AP912">
            <v>723</v>
          </cell>
        </row>
        <row r="913">
          <cell r="C913">
            <v>44411</v>
          </cell>
          <cell r="N913">
            <v>488</v>
          </cell>
          <cell r="O913" t="str">
            <v>235</v>
          </cell>
          <cell r="AP913">
            <v>722</v>
          </cell>
        </row>
        <row r="914">
          <cell r="C914">
            <v>44411</v>
          </cell>
          <cell r="N914">
            <v>488</v>
          </cell>
          <cell r="O914" t="str">
            <v>235</v>
          </cell>
          <cell r="AP914">
            <v>723</v>
          </cell>
        </row>
        <row r="915">
          <cell r="C915">
            <v>44411</v>
          </cell>
          <cell r="N915">
            <v>488</v>
          </cell>
          <cell r="O915" t="str">
            <v>235</v>
          </cell>
          <cell r="AP915">
            <v>885</v>
          </cell>
        </row>
        <row r="916">
          <cell r="C916">
            <v>44411</v>
          </cell>
          <cell r="N916">
            <v>488</v>
          </cell>
          <cell r="O916" t="str">
            <v>235</v>
          </cell>
          <cell r="AP916">
            <v>904</v>
          </cell>
        </row>
        <row r="917">
          <cell r="C917">
            <v>44411</v>
          </cell>
          <cell r="N917">
            <v>488</v>
          </cell>
          <cell r="O917" t="str">
            <v>235</v>
          </cell>
          <cell r="AP917">
            <v>688</v>
          </cell>
        </row>
        <row r="918">
          <cell r="C918">
            <v>44411</v>
          </cell>
          <cell r="N918">
            <v>488</v>
          </cell>
          <cell r="O918" t="str">
            <v>235</v>
          </cell>
          <cell r="AP918">
            <v>688</v>
          </cell>
        </row>
        <row r="919">
          <cell r="C919">
            <v>44411</v>
          </cell>
          <cell r="N919">
            <v>488</v>
          </cell>
          <cell r="O919" t="str">
            <v>235</v>
          </cell>
          <cell r="AP919">
            <v>685</v>
          </cell>
        </row>
        <row r="920">
          <cell r="C920">
            <v>44411</v>
          </cell>
          <cell r="N920">
            <v>488</v>
          </cell>
          <cell r="O920" t="str">
            <v>235</v>
          </cell>
          <cell r="AP920">
            <v>840</v>
          </cell>
        </row>
        <row r="921">
          <cell r="C921">
            <v>44409</v>
          </cell>
          <cell r="N921">
            <v>483</v>
          </cell>
          <cell r="O921" t="str">
            <v>125</v>
          </cell>
          <cell r="AP921">
            <v>851</v>
          </cell>
        </row>
        <row r="922">
          <cell r="C922">
            <v>44409</v>
          </cell>
          <cell r="N922">
            <v>483</v>
          </cell>
          <cell r="O922" t="str">
            <v>125</v>
          </cell>
          <cell r="AP922">
            <v>854</v>
          </cell>
        </row>
        <row r="923">
          <cell r="C923">
            <v>44409</v>
          </cell>
          <cell r="N923">
            <v>483</v>
          </cell>
          <cell r="O923" t="str">
            <v>125</v>
          </cell>
          <cell r="AP923">
            <v>775</v>
          </cell>
        </row>
        <row r="924">
          <cell r="C924">
            <v>44409</v>
          </cell>
          <cell r="N924">
            <v>483</v>
          </cell>
          <cell r="O924" t="str">
            <v>125</v>
          </cell>
          <cell r="AP924">
            <v>774</v>
          </cell>
        </row>
        <row r="925">
          <cell r="C925">
            <v>44409</v>
          </cell>
          <cell r="N925">
            <v>483</v>
          </cell>
          <cell r="O925" t="str">
            <v>125</v>
          </cell>
          <cell r="AP925">
            <v>877</v>
          </cell>
        </row>
        <row r="926">
          <cell r="C926">
            <v>44409</v>
          </cell>
          <cell r="N926">
            <v>483</v>
          </cell>
          <cell r="O926" t="str">
            <v>125</v>
          </cell>
          <cell r="AP926">
            <v>879</v>
          </cell>
        </row>
        <row r="927">
          <cell r="C927">
            <v>44409</v>
          </cell>
          <cell r="N927">
            <v>483</v>
          </cell>
          <cell r="O927" t="str">
            <v>125</v>
          </cell>
          <cell r="AP927">
            <v>882</v>
          </cell>
        </row>
        <row r="928">
          <cell r="C928">
            <v>44409</v>
          </cell>
          <cell r="N928">
            <v>483</v>
          </cell>
          <cell r="O928" t="str">
            <v>125</v>
          </cell>
          <cell r="AP928">
            <v>796</v>
          </cell>
        </row>
        <row r="929">
          <cell r="C929">
            <v>44409</v>
          </cell>
          <cell r="N929">
            <v>483</v>
          </cell>
          <cell r="O929" t="str">
            <v>125</v>
          </cell>
          <cell r="AP929">
            <v>795</v>
          </cell>
        </row>
        <row r="930">
          <cell r="C930">
            <v>44409</v>
          </cell>
          <cell r="N930">
            <v>483</v>
          </cell>
          <cell r="O930" t="str">
            <v>125</v>
          </cell>
          <cell r="AP930">
            <v>900</v>
          </cell>
        </row>
        <row r="931">
          <cell r="C931">
            <v>44409</v>
          </cell>
          <cell r="N931">
            <v>483</v>
          </cell>
          <cell r="O931" t="str">
            <v>125</v>
          </cell>
          <cell r="AP931">
            <v>862</v>
          </cell>
        </row>
        <row r="932">
          <cell r="C932">
            <v>44409</v>
          </cell>
          <cell r="N932">
            <v>483</v>
          </cell>
          <cell r="O932" t="str">
            <v>125</v>
          </cell>
          <cell r="AP932">
            <v>866</v>
          </cell>
        </row>
        <row r="933">
          <cell r="C933">
            <v>44409</v>
          </cell>
          <cell r="N933">
            <v>483</v>
          </cell>
          <cell r="O933" t="str">
            <v>125</v>
          </cell>
          <cell r="AP933">
            <v>782</v>
          </cell>
        </row>
        <row r="934">
          <cell r="C934">
            <v>44409</v>
          </cell>
          <cell r="N934">
            <v>483</v>
          </cell>
          <cell r="O934" t="str">
            <v>125</v>
          </cell>
          <cell r="AP934">
            <v>780</v>
          </cell>
        </row>
        <row r="935">
          <cell r="C935">
            <v>44409</v>
          </cell>
          <cell r="N935">
            <v>483</v>
          </cell>
          <cell r="O935" t="str">
            <v>125</v>
          </cell>
          <cell r="AP935">
            <v>881</v>
          </cell>
        </row>
        <row r="936">
          <cell r="C936">
            <v>44409</v>
          </cell>
          <cell r="N936">
            <v>483</v>
          </cell>
          <cell r="O936" t="str">
            <v>125</v>
          </cell>
          <cell r="AP936">
            <v>861</v>
          </cell>
        </row>
        <row r="937">
          <cell r="C937">
            <v>44409</v>
          </cell>
          <cell r="N937">
            <v>483</v>
          </cell>
          <cell r="O937" t="str">
            <v>125</v>
          </cell>
          <cell r="AP937">
            <v>867</v>
          </cell>
        </row>
        <row r="938">
          <cell r="C938">
            <v>44409</v>
          </cell>
          <cell r="N938">
            <v>483</v>
          </cell>
          <cell r="O938" t="str">
            <v>125</v>
          </cell>
          <cell r="AP938">
            <v>783</v>
          </cell>
        </row>
        <row r="939">
          <cell r="C939">
            <v>44409</v>
          </cell>
          <cell r="N939">
            <v>483</v>
          </cell>
          <cell r="O939" t="str">
            <v>125</v>
          </cell>
          <cell r="AP939">
            <v>781</v>
          </cell>
        </row>
        <row r="940">
          <cell r="C940">
            <v>44409</v>
          </cell>
          <cell r="N940">
            <v>483</v>
          </cell>
          <cell r="O940" t="str">
            <v>125</v>
          </cell>
          <cell r="AP940">
            <v>880</v>
          </cell>
        </row>
        <row r="941">
          <cell r="C941">
            <v>44409</v>
          </cell>
          <cell r="N941">
            <v>483</v>
          </cell>
          <cell r="O941" t="str">
            <v>125</v>
          </cell>
          <cell r="AP941">
            <v>912</v>
          </cell>
        </row>
        <row r="942">
          <cell r="C942">
            <v>44409</v>
          </cell>
          <cell r="N942">
            <v>483</v>
          </cell>
          <cell r="O942" t="str">
            <v>125</v>
          </cell>
          <cell r="AP942">
            <v>918</v>
          </cell>
        </row>
        <row r="943">
          <cell r="C943">
            <v>44409</v>
          </cell>
          <cell r="N943">
            <v>483</v>
          </cell>
          <cell r="O943" t="str">
            <v>125</v>
          </cell>
          <cell r="AP943">
            <v>828</v>
          </cell>
        </row>
        <row r="944">
          <cell r="C944">
            <v>44409</v>
          </cell>
          <cell r="N944">
            <v>483</v>
          </cell>
          <cell r="O944" t="str">
            <v>125</v>
          </cell>
          <cell r="AP944">
            <v>825</v>
          </cell>
        </row>
        <row r="945">
          <cell r="C945">
            <v>44409</v>
          </cell>
          <cell r="N945">
            <v>483</v>
          </cell>
          <cell r="O945" t="str">
            <v>125</v>
          </cell>
          <cell r="AP945">
            <v>930</v>
          </cell>
        </row>
        <row r="946">
          <cell r="C946">
            <v>44409</v>
          </cell>
          <cell r="N946">
            <v>476</v>
          </cell>
          <cell r="O946" t="str">
            <v>125</v>
          </cell>
          <cell r="AP946">
            <v>723</v>
          </cell>
        </row>
        <row r="947">
          <cell r="C947">
            <v>44409</v>
          </cell>
          <cell r="N947">
            <v>476</v>
          </cell>
          <cell r="O947" t="str">
            <v>125</v>
          </cell>
          <cell r="AP947">
            <v>726</v>
          </cell>
        </row>
        <row r="948">
          <cell r="C948">
            <v>44409</v>
          </cell>
          <cell r="N948">
            <v>476</v>
          </cell>
          <cell r="O948" t="str">
            <v>125</v>
          </cell>
          <cell r="AP948">
            <v>1320</v>
          </cell>
        </row>
        <row r="949">
          <cell r="C949">
            <v>44409</v>
          </cell>
          <cell r="N949">
            <v>476</v>
          </cell>
          <cell r="O949" t="str">
            <v>125</v>
          </cell>
          <cell r="AP949">
            <v>699</v>
          </cell>
        </row>
        <row r="950">
          <cell r="C950">
            <v>44409</v>
          </cell>
          <cell r="N950">
            <v>476</v>
          </cell>
          <cell r="O950" t="str">
            <v>125</v>
          </cell>
          <cell r="AP950">
            <v>693</v>
          </cell>
        </row>
        <row r="951">
          <cell r="C951">
            <v>44409</v>
          </cell>
          <cell r="N951">
            <v>476</v>
          </cell>
          <cell r="O951" t="str">
            <v>125</v>
          </cell>
          <cell r="AP951">
            <v>734</v>
          </cell>
        </row>
        <row r="952">
          <cell r="C952">
            <v>44409</v>
          </cell>
          <cell r="N952">
            <v>476</v>
          </cell>
          <cell r="O952" t="str">
            <v>125</v>
          </cell>
          <cell r="AP952">
            <v>731</v>
          </cell>
        </row>
        <row r="953">
          <cell r="C953">
            <v>44409</v>
          </cell>
          <cell r="N953">
            <v>476</v>
          </cell>
          <cell r="O953" t="str">
            <v>125</v>
          </cell>
          <cell r="AP953">
            <v>1134</v>
          </cell>
        </row>
        <row r="954">
          <cell r="C954">
            <v>44409</v>
          </cell>
          <cell r="N954">
            <v>476</v>
          </cell>
          <cell r="O954" t="str">
            <v>125</v>
          </cell>
          <cell r="AP954">
            <v>707</v>
          </cell>
        </row>
        <row r="955">
          <cell r="C955">
            <v>44409</v>
          </cell>
          <cell r="N955">
            <v>476</v>
          </cell>
          <cell r="O955" t="str">
            <v>125</v>
          </cell>
          <cell r="AP955">
            <v>700</v>
          </cell>
        </row>
        <row r="956">
          <cell r="C956">
            <v>44409</v>
          </cell>
          <cell r="N956">
            <v>487</v>
          </cell>
          <cell r="O956" t="str">
            <v>125</v>
          </cell>
          <cell r="AP956">
            <v>1647</v>
          </cell>
        </row>
        <row r="957">
          <cell r="C957">
            <v>44409</v>
          </cell>
          <cell r="N957">
            <v>487</v>
          </cell>
          <cell r="O957" t="str">
            <v>125</v>
          </cell>
          <cell r="AP957">
            <v>989</v>
          </cell>
        </row>
        <row r="958">
          <cell r="C958">
            <v>44409</v>
          </cell>
          <cell r="N958">
            <v>487</v>
          </cell>
          <cell r="O958" t="str">
            <v>125</v>
          </cell>
          <cell r="AP958">
            <v>1707</v>
          </cell>
        </row>
        <row r="959">
          <cell r="C959">
            <v>44409</v>
          </cell>
          <cell r="N959">
            <v>487</v>
          </cell>
          <cell r="O959" t="str">
            <v>125</v>
          </cell>
          <cell r="AP959">
            <v>1651</v>
          </cell>
        </row>
        <row r="960">
          <cell r="C960">
            <v>44409</v>
          </cell>
          <cell r="N960">
            <v>487</v>
          </cell>
          <cell r="O960" t="str">
            <v>125</v>
          </cell>
          <cell r="AP960">
            <v>988</v>
          </cell>
        </row>
        <row r="961">
          <cell r="C961">
            <v>44409</v>
          </cell>
          <cell r="N961">
            <v>487</v>
          </cell>
          <cell r="O961" t="str">
            <v>125</v>
          </cell>
          <cell r="AP961">
            <v>1712</v>
          </cell>
        </row>
        <row r="962">
          <cell r="C962">
            <v>44409</v>
          </cell>
          <cell r="N962">
            <v>487</v>
          </cell>
          <cell r="O962" t="str">
            <v>125</v>
          </cell>
          <cell r="AP962">
            <v>1691</v>
          </cell>
        </row>
        <row r="963">
          <cell r="C963">
            <v>44409</v>
          </cell>
          <cell r="N963">
            <v>487</v>
          </cell>
          <cell r="O963" t="str">
            <v>125</v>
          </cell>
          <cell r="AP963">
            <v>1015</v>
          </cell>
        </row>
        <row r="964">
          <cell r="C964">
            <v>44409</v>
          </cell>
          <cell r="N964">
            <v>487</v>
          </cell>
          <cell r="O964" t="str">
            <v>125</v>
          </cell>
          <cell r="AP964">
            <v>1754</v>
          </cell>
        </row>
        <row r="965">
          <cell r="C965">
            <v>44411</v>
          </cell>
          <cell r="N965">
            <v>488</v>
          </cell>
          <cell r="O965" t="str">
            <v>235</v>
          </cell>
          <cell r="AP965">
            <v>1011</v>
          </cell>
        </row>
        <row r="966">
          <cell r="C966">
            <v>44411</v>
          </cell>
          <cell r="N966">
            <v>488</v>
          </cell>
          <cell r="O966" t="str">
            <v>235</v>
          </cell>
          <cell r="AP966">
            <v>770</v>
          </cell>
        </row>
        <row r="967">
          <cell r="C967">
            <v>44411</v>
          </cell>
          <cell r="N967">
            <v>488</v>
          </cell>
          <cell r="O967" t="str">
            <v>235</v>
          </cell>
          <cell r="AP967">
            <v>769</v>
          </cell>
        </row>
        <row r="968">
          <cell r="C968">
            <v>44411</v>
          </cell>
          <cell r="N968">
            <v>488</v>
          </cell>
          <cell r="O968" t="str">
            <v>235</v>
          </cell>
          <cell r="AP968">
            <v>758</v>
          </cell>
        </row>
        <row r="969">
          <cell r="C969">
            <v>44411</v>
          </cell>
          <cell r="N969">
            <v>488</v>
          </cell>
          <cell r="O969" t="str">
            <v>235</v>
          </cell>
          <cell r="AP969">
            <v>946</v>
          </cell>
        </row>
        <row r="970">
          <cell r="C970">
            <v>44411</v>
          </cell>
          <cell r="N970">
            <v>488</v>
          </cell>
          <cell r="O970" t="str">
            <v>235</v>
          </cell>
          <cell r="AP970">
            <v>998</v>
          </cell>
        </row>
        <row r="971">
          <cell r="C971">
            <v>44411</v>
          </cell>
          <cell r="N971">
            <v>488</v>
          </cell>
          <cell r="O971" t="str">
            <v>235</v>
          </cell>
          <cell r="AP971">
            <v>761</v>
          </cell>
        </row>
        <row r="972">
          <cell r="C972">
            <v>44411</v>
          </cell>
          <cell r="N972">
            <v>488</v>
          </cell>
          <cell r="O972" t="str">
            <v>235</v>
          </cell>
          <cell r="AP972">
            <v>758</v>
          </cell>
        </row>
        <row r="973">
          <cell r="C973">
            <v>44411</v>
          </cell>
          <cell r="N973">
            <v>488</v>
          </cell>
          <cell r="O973" t="str">
            <v>235</v>
          </cell>
          <cell r="AP973">
            <v>758</v>
          </cell>
        </row>
        <row r="974">
          <cell r="C974">
            <v>44411</v>
          </cell>
          <cell r="N974">
            <v>488</v>
          </cell>
          <cell r="O974" t="str">
            <v>235</v>
          </cell>
          <cell r="AP974">
            <v>926</v>
          </cell>
        </row>
        <row r="975">
          <cell r="C975">
            <v>44411</v>
          </cell>
          <cell r="N975">
            <v>488</v>
          </cell>
          <cell r="O975" t="str">
            <v>235</v>
          </cell>
          <cell r="AP975">
            <v>954</v>
          </cell>
        </row>
        <row r="976">
          <cell r="C976">
            <v>44411</v>
          </cell>
          <cell r="N976">
            <v>488</v>
          </cell>
          <cell r="O976" t="str">
            <v>235</v>
          </cell>
          <cell r="AP976">
            <v>726</v>
          </cell>
        </row>
        <row r="977">
          <cell r="C977">
            <v>44411</v>
          </cell>
          <cell r="N977">
            <v>488</v>
          </cell>
          <cell r="O977" t="str">
            <v>235</v>
          </cell>
          <cell r="AP977">
            <v>725</v>
          </cell>
        </row>
        <row r="978">
          <cell r="C978">
            <v>44411</v>
          </cell>
          <cell r="N978">
            <v>488</v>
          </cell>
          <cell r="O978" t="str">
            <v>235</v>
          </cell>
          <cell r="AP978">
            <v>726</v>
          </cell>
        </row>
        <row r="979">
          <cell r="C979">
            <v>44411</v>
          </cell>
          <cell r="N979">
            <v>488</v>
          </cell>
          <cell r="O979" t="str">
            <v>235</v>
          </cell>
          <cell r="AP979">
            <v>888</v>
          </cell>
        </row>
        <row r="980">
          <cell r="C980">
            <v>44411</v>
          </cell>
          <cell r="N980">
            <v>488</v>
          </cell>
          <cell r="O980" t="str">
            <v>235</v>
          </cell>
          <cell r="AP980">
            <v>937</v>
          </cell>
        </row>
        <row r="981">
          <cell r="C981">
            <v>44411</v>
          </cell>
          <cell r="N981">
            <v>488</v>
          </cell>
          <cell r="O981" t="str">
            <v>235</v>
          </cell>
          <cell r="AP981">
            <v>715</v>
          </cell>
        </row>
        <row r="982">
          <cell r="C982">
            <v>44411</v>
          </cell>
          <cell r="N982">
            <v>488</v>
          </cell>
          <cell r="O982" t="str">
            <v>235</v>
          </cell>
          <cell r="AP982">
            <v>714</v>
          </cell>
        </row>
        <row r="983">
          <cell r="C983">
            <v>44411</v>
          </cell>
          <cell r="N983">
            <v>488</v>
          </cell>
          <cell r="O983" t="str">
            <v>235</v>
          </cell>
          <cell r="AP983">
            <v>860</v>
          </cell>
        </row>
        <row r="984">
          <cell r="C984">
            <v>44411</v>
          </cell>
          <cell r="N984">
            <v>488</v>
          </cell>
          <cell r="O984" t="str">
            <v>235</v>
          </cell>
          <cell r="AP984">
            <v>860</v>
          </cell>
        </row>
        <row r="985">
          <cell r="C985">
            <v>44411</v>
          </cell>
          <cell r="N985">
            <v>488</v>
          </cell>
          <cell r="O985" t="str">
            <v>235</v>
          </cell>
          <cell r="AP985">
            <v>946</v>
          </cell>
        </row>
        <row r="986">
          <cell r="C986">
            <v>44411</v>
          </cell>
          <cell r="N986">
            <v>488</v>
          </cell>
          <cell r="O986" t="str">
            <v>235</v>
          </cell>
          <cell r="AP986">
            <v>719</v>
          </cell>
        </row>
        <row r="987">
          <cell r="C987">
            <v>44411</v>
          </cell>
          <cell r="N987">
            <v>488</v>
          </cell>
          <cell r="O987" t="str">
            <v>235</v>
          </cell>
          <cell r="AP987">
            <v>720</v>
          </cell>
        </row>
        <row r="988">
          <cell r="C988">
            <v>44411</v>
          </cell>
          <cell r="N988">
            <v>488</v>
          </cell>
          <cell r="O988" t="str">
            <v>235</v>
          </cell>
          <cell r="AP988">
            <v>719</v>
          </cell>
        </row>
        <row r="989">
          <cell r="C989">
            <v>44411</v>
          </cell>
          <cell r="N989">
            <v>488</v>
          </cell>
          <cell r="O989" t="str">
            <v>235</v>
          </cell>
          <cell r="AP989">
            <v>880</v>
          </cell>
        </row>
        <row r="990">
          <cell r="C990">
            <v>44411</v>
          </cell>
          <cell r="N990">
            <v>488</v>
          </cell>
          <cell r="O990" t="str">
            <v>235</v>
          </cell>
          <cell r="AP990">
            <v>919</v>
          </cell>
        </row>
        <row r="991">
          <cell r="C991">
            <v>44411</v>
          </cell>
          <cell r="N991">
            <v>488</v>
          </cell>
          <cell r="O991" t="str">
            <v>235</v>
          </cell>
          <cell r="AP991">
            <v>701</v>
          </cell>
        </row>
        <row r="992">
          <cell r="C992">
            <v>44411</v>
          </cell>
          <cell r="N992">
            <v>488</v>
          </cell>
          <cell r="O992" t="str">
            <v>235</v>
          </cell>
          <cell r="AP992">
            <v>701</v>
          </cell>
        </row>
        <row r="993">
          <cell r="C993">
            <v>44411</v>
          </cell>
          <cell r="N993">
            <v>488</v>
          </cell>
          <cell r="O993" t="str">
            <v>235</v>
          </cell>
          <cell r="AP993">
            <v>681</v>
          </cell>
        </row>
        <row r="994">
          <cell r="C994">
            <v>44411</v>
          </cell>
          <cell r="N994">
            <v>488</v>
          </cell>
          <cell r="O994" t="str">
            <v>235</v>
          </cell>
          <cell r="AP994">
            <v>829</v>
          </cell>
        </row>
        <row r="995">
          <cell r="C995">
            <v>44411</v>
          </cell>
          <cell r="N995">
            <v>488</v>
          </cell>
          <cell r="O995" t="str">
            <v>235</v>
          </cell>
          <cell r="AP995">
            <v>1019</v>
          </cell>
        </row>
        <row r="996">
          <cell r="C996">
            <v>44411</v>
          </cell>
          <cell r="N996">
            <v>488</v>
          </cell>
          <cell r="O996" t="str">
            <v>235</v>
          </cell>
          <cell r="AP996">
            <v>776</v>
          </cell>
        </row>
        <row r="997">
          <cell r="C997">
            <v>44411</v>
          </cell>
          <cell r="N997">
            <v>488</v>
          </cell>
          <cell r="O997" t="str">
            <v>235</v>
          </cell>
          <cell r="AP997">
            <v>776</v>
          </cell>
        </row>
        <row r="998">
          <cell r="C998">
            <v>44411</v>
          </cell>
          <cell r="N998">
            <v>488</v>
          </cell>
          <cell r="O998" t="str">
            <v>235</v>
          </cell>
          <cell r="AP998">
            <v>777</v>
          </cell>
        </row>
        <row r="999">
          <cell r="C999">
            <v>44411</v>
          </cell>
          <cell r="N999">
            <v>488</v>
          </cell>
          <cell r="O999" t="str">
            <v>235</v>
          </cell>
          <cell r="AP999">
            <v>949</v>
          </cell>
        </row>
        <row r="1000">
          <cell r="C1000">
            <v>44411</v>
          </cell>
          <cell r="N1000">
            <v>488</v>
          </cell>
          <cell r="O1000" t="str">
            <v>235</v>
          </cell>
          <cell r="AP1000">
            <v>986</v>
          </cell>
        </row>
        <row r="1001">
          <cell r="C1001">
            <v>44411</v>
          </cell>
          <cell r="N1001">
            <v>488</v>
          </cell>
          <cell r="O1001" t="str">
            <v>235</v>
          </cell>
          <cell r="AP1001">
            <v>750</v>
          </cell>
        </row>
        <row r="1002">
          <cell r="C1002">
            <v>44411</v>
          </cell>
          <cell r="N1002">
            <v>488</v>
          </cell>
          <cell r="O1002" t="str">
            <v>235</v>
          </cell>
          <cell r="AP1002">
            <v>751</v>
          </cell>
        </row>
        <row r="1003">
          <cell r="C1003">
            <v>44411</v>
          </cell>
          <cell r="N1003">
            <v>488</v>
          </cell>
          <cell r="O1003" t="str">
            <v>235</v>
          </cell>
          <cell r="AP1003">
            <v>751</v>
          </cell>
        </row>
        <row r="1004">
          <cell r="C1004">
            <v>44411</v>
          </cell>
          <cell r="N1004">
            <v>488</v>
          </cell>
          <cell r="O1004" t="str">
            <v>235</v>
          </cell>
          <cell r="AP1004">
            <v>919</v>
          </cell>
        </row>
        <row r="1005">
          <cell r="C1005">
            <v>44411</v>
          </cell>
          <cell r="N1005">
            <v>488</v>
          </cell>
          <cell r="O1005" t="str">
            <v>235</v>
          </cell>
          <cell r="AP1005">
            <v>955</v>
          </cell>
        </row>
        <row r="1006">
          <cell r="C1006">
            <v>44411</v>
          </cell>
          <cell r="N1006">
            <v>488</v>
          </cell>
          <cell r="O1006" t="str">
            <v>235</v>
          </cell>
          <cell r="AP1006">
            <v>727</v>
          </cell>
        </row>
        <row r="1007">
          <cell r="C1007">
            <v>44411</v>
          </cell>
          <cell r="N1007">
            <v>488</v>
          </cell>
          <cell r="O1007" t="str">
            <v>235</v>
          </cell>
          <cell r="AP1007">
            <v>725</v>
          </cell>
        </row>
        <row r="1008">
          <cell r="C1008">
            <v>44411</v>
          </cell>
          <cell r="N1008">
            <v>488</v>
          </cell>
          <cell r="O1008" t="str">
            <v>235</v>
          </cell>
          <cell r="AP1008">
            <v>725</v>
          </cell>
        </row>
        <row r="1009">
          <cell r="C1009">
            <v>44411</v>
          </cell>
          <cell r="N1009">
            <v>488</v>
          </cell>
          <cell r="O1009" t="str">
            <v>235</v>
          </cell>
          <cell r="AP1009">
            <v>888</v>
          </cell>
        </row>
        <row r="1010">
          <cell r="C1010">
            <v>44411</v>
          </cell>
          <cell r="N1010">
            <v>488</v>
          </cell>
          <cell r="O1010" t="str">
            <v>235</v>
          </cell>
          <cell r="AP1010">
            <v>951</v>
          </cell>
        </row>
        <row r="1011">
          <cell r="C1011">
            <v>44411</v>
          </cell>
          <cell r="N1011">
            <v>488</v>
          </cell>
          <cell r="O1011" t="str">
            <v>235</v>
          </cell>
          <cell r="AP1011">
            <v>727</v>
          </cell>
        </row>
        <row r="1012">
          <cell r="C1012">
            <v>44411</v>
          </cell>
          <cell r="N1012">
            <v>488</v>
          </cell>
          <cell r="O1012" t="str">
            <v>235</v>
          </cell>
          <cell r="AP1012">
            <v>725</v>
          </cell>
        </row>
        <row r="1013">
          <cell r="C1013">
            <v>44411</v>
          </cell>
          <cell r="N1013">
            <v>488</v>
          </cell>
          <cell r="O1013" t="str">
            <v>235</v>
          </cell>
          <cell r="AP1013">
            <v>724</v>
          </cell>
        </row>
        <row r="1014">
          <cell r="C1014">
            <v>44411</v>
          </cell>
          <cell r="N1014">
            <v>488</v>
          </cell>
          <cell r="O1014" t="str">
            <v>235</v>
          </cell>
          <cell r="AP1014">
            <v>888</v>
          </cell>
        </row>
        <row r="1015">
          <cell r="C1015">
            <v>44411</v>
          </cell>
          <cell r="N1015">
            <v>488</v>
          </cell>
          <cell r="O1015" t="str">
            <v>235</v>
          </cell>
          <cell r="AP1015">
            <v>952</v>
          </cell>
        </row>
        <row r="1016">
          <cell r="C1016">
            <v>44411</v>
          </cell>
          <cell r="N1016">
            <v>488</v>
          </cell>
          <cell r="O1016" t="str">
            <v>235</v>
          </cell>
          <cell r="AP1016">
            <v>725</v>
          </cell>
        </row>
        <row r="1017">
          <cell r="C1017">
            <v>44411</v>
          </cell>
          <cell r="N1017">
            <v>488</v>
          </cell>
          <cell r="O1017" t="str">
            <v>235</v>
          </cell>
          <cell r="AP1017">
            <v>727</v>
          </cell>
        </row>
        <row r="1018">
          <cell r="C1018">
            <v>44411</v>
          </cell>
          <cell r="N1018">
            <v>488</v>
          </cell>
          <cell r="O1018" t="str">
            <v>235</v>
          </cell>
          <cell r="AP1018">
            <v>726</v>
          </cell>
        </row>
        <row r="1019">
          <cell r="C1019">
            <v>44411</v>
          </cell>
          <cell r="N1019">
            <v>488</v>
          </cell>
          <cell r="O1019" t="str">
            <v>235</v>
          </cell>
          <cell r="AP1019">
            <v>890</v>
          </cell>
        </row>
        <row r="1020">
          <cell r="C1020">
            <v>44411</v>
          </cell>
          <cell r="N1020">
            <v>488</v>
          </cell>
          <cell r="O1020" t="str">
            <v>235</v>
          </cell>
          <cell r="AP1020">
            <v>951</v>
          </cell>
        </row>
        <row r="1021">
          <cell r="C1021">
            <v>44411</v>
          </cell>
          <cell r="N1021">
            <v>488</v>
          </cell>
          <cell r="O1021" t="str">
            <v>235</v>
          </cell>
          <cell r="AP1021">
            <v>726</v>
          </cell>
        </row>
        <row r="1022">
          <cell r="C1022">
            <v>44411</v>
          </cell>
          <cell r="N1022">
            <v>488</v>
          </cell>
          <cell r="O1022" t="str">
            <v>235</v>
          </cell>
          <cell r="AP1022">
            <v>725</v>
          </cell>
        </row>
        <row r="1023">
          <cell r="C1023">
            <v>44411</v>
          </cell>
          <cell r="N1023">
            <v>488</v>
          </cell>
          <cell r="O1023" t="str">
            <v>235</v>
          </cell>
          <cell r="AP1023">
            <v>723</v>
          </cell>
        </row>
        <row r="1024">
          <cell r="C1024">
            <v>44411</v>
          </cell>
          <cell r="N1024">
            <v>488</v>
          </cell>
          <cell r="O1024" t="str">
            <v>235</v>
          </cell>
          <cell r="AP1024">
            <v>888</v>
          </cell>
        </row>
        <row r="1025">
          <cell r="C1025">
            <v>44412</v>
          </cell>
          <cell r="N1025">
            <v>488</v>
          </cell>
          <cell r="O1025" t="str">
            <v>235</v>
          </cell>
          <cell r="AP1025">
            <v>1025</v>
          </cell>
        </row>
        <row r="1026">
          <cell r="C1026">
            <v>44412</v>
          </cell>
          <cell r="N1026">
            <v>488</v>
          </cell>
          <cell r="O1026" t="str">
            <v>235</v>
          </cell>
          <cell r="AP1026">
            <v>782</v>
          </cell>
        </row>
        <row r="1027">
          <cell r="C1027">
            <v>44412</v>
          </cell>
          <cell r="N1027">
            <v>488</v>
          </cell>
          <cell r="O1027" t="str">
            <v>235</v>
          </cell>
          <cell r="AP1027">
            <v>782</v>
          </cell>
        </row>
        <row r="1028">
          <cell r="C1028">
            <v>44412</v>
          </cell>
          <cell r="N1028">
            <v>488</v>
          </cell>
          <cell r="O1028" t="str">
            <v>235</v>
          </cell>
          <cell r="AP1028">
            <v>781</v>
          </cell>
        </row>
        <row r="1029">
          <cell r="C1029">
            <v>44412</v>
          </cell>
          <cell r="N1029">
            <v>488</v>
          </cell>
          <cell r="O1029" t="str">
            <v>235</v>
          </cell>
          <cell r="AP1029">
            <v>954</v>
          </cell>
        </row>
        <row r="1030">
          <cell r="C1030">
            <v>44412</v>
          </cell>
          <cell r="N1030">
            <v>488</v>
          </cell>
          <cell r="O1030" t="str">
            <v>235</v>
          </cell>
          <cell r="AP1030">
            <v>979</v>
          </cell>
        </row>
        <row r="1031">
          <cell r="C1031">
            <v>44412</v>
          </cell>
          <cell r="N1031">
            <v>488</v>
          </cell>
          <cell r="O1031" t="str">
            <v>235</v>
          </cell>
          <cell r="AP1031">
            <v>748</v>
          </cell>
        </row>
        <row r="1032">
          <cell r="C1032">
            <v>44412</v>
          </cell>
          <cell r="N1032">
            <v>488</v>
          </cell>
          <cell r="O1032" t="str">
            <v>235</v>
          </cell>
          <cell r="AP1032">
            <v>745</v>
          </cell>
        </row>
        <row r="1033">
          <cell r="C1033">
            <v>44412</v>
          </cell>
          <cell r="N1033">
            <v>488</v>
          </cell>
          <cell r="O1033" t="str">
            <v>235</v>
          </cell>
          <cell r="AP1033">
            <v>736</v>
          </cell>
        </row>
        <row r="1034">
          <cell r="C1034">
            <v>44412</v>
          </cell>
          <cell r="N1034">
            <v>488</v>
          </cell>
          <cell r="O1034" t="str">
            <v>235</v>
          </cell>
          <cell r="AP1034">
            <v>897</v>
          </cell>
        </row>
        <row r="1035">
          <cell r="C1035">
            <v>44412</v>
          </cell>
          <cell r="N1035">
            <v>488</v>
          </cell>
          <cell r="O1035" t="str">
            <v>235</v>
          </cell>
          <cell r="AP1035">
            <v>957</v>
          </cell>
        </row>
        <row r="1036">
          <cell r="C1036">
            <v>44412</v>
          </cell>
          <cell r="N1036">
            <v>488</v>
          </cell>
          <cell r="O1036" t="str">
            <v>235</v>
          </cell>
          <cell r="AP1036">
            <v>731</v>
          </cell>
        </row>
        <row r="1037">
          <cell r="C1037">
            <v>44412</v>
          </cell>
          <cell r="N1037">
            <v>488</v>
          </cell>
          <cell r="O1037" t="str">
            <v>235</v>
          </cell>
          <cell r="AP1037">
            <v>729</v>
          </cell>
        </row>
        <row r="1038">
          <cell r="C1038">
            <v>44412</v>
          </cell>
          <cell r="N1038">
            <v>488</v>
          </cell>
          <cell r="O1038" t="str">
            <v>235</v>
          </cell>
          <cell r="AP1038">
            <v>722</v>
          </cell>
        </row>
        <row r="1039">
          <cell r="C1039">
            <v>44412</v>
          </cell>
          <cell r="N1039">
            <v>488</v>
          </cell>
          <cell r="O1039" t="str">
            <v>235</v>
          </cell>
          <cell r="AP1039">
            <v>892</v>
          </cell>
        </row>
        <row r="1040">
          <cell r="C1040">
            <v>44412</v>
          </cell>
          <cell r="N1040">
            <v>488</v>
          </cell>
          <cell r="O1040" t="str">
            <v>235</v>
          </cell>
          <cell r="AP1040">
            <v>952</v>
          </cell>
        </row>
        <row r="1041">
          <cell r="C1041">
            <v>44412</v>
          </cell>
          <cell r="N1041">
            <v>488</v>
          </cell>
          <cell r="O1041" t="str">
            <v>235</v>
          </cell>
          <cell r="AP1041">
            <v>726</v>
          </cell>
        </row>
        <row r="1042">
          <cell r="C1042">
            <v>44412</v>
          </cell>
          <cell r="N1042">
            <v>488</v>
          </cell>
          <cell r="O1042" t="str">
            <v>235</v>
          </cell>
          <cell r="AP1042">
            <v>726</v>
          </cell>
        </row>
        <row r="1043">
          <cell r="C1043">
            <v>44412</v>
          </cell>
          <cell r="N1043">
            <v>488</v>
          </cell>
          <cell r="O1043" t="str">
            <v>235</v>
          </cell>
          <cell r="AP1043">
            <v>729</v>
          </cell>
        </row>
        <row r="1044">
          <cell r="C1044">
            <v>44412</v>
          </cell>
          <cell r="N1044">
            <v>488</v>
          </cell>
          <cell r="O1044" t="str">
            <v>235</v>
          </cell>
          <cell r="AP1044">
            <v>890</v>
          </cell>
        </row>
        <row r="1045">
          <cell r="C1045">
            <v>44412</v>
          </cell>
          <cell r="N1045">
            <v>488</v>
          </cell>
          <cell r="O1045" t="str">
            <v>235</v>
          </cell>
          <cell r="AP1045">
            <v>951</v>
          </cell>
        </row>
        <row r="1046">
          <cell r="C1046">
            <v>44412</v>
          </cell>
          <cell r="N1046">
            <v>488</v>
          </cell>
          <cell r="O1046" t="str">
            <v>235</v>
          </cell>
          <cell r="AP1046">
            <v>726</v>
          </cell>
        </row>
        <row r="1047">
          <cell r="C1047">
            <v>44412</v>
          </cell>
          <cell r="N1047">
            <v>488</v>
          </cell>
          <cell r="O1047" t="str">
            <v>235</v>
          </cell>
          <cell r="AP1047">
            <v>726</v>
          </cell>
        </row>
        <row r="1048">
          <cell r="C1048">
            <v>44412</v>
          </cell>
          <cell r="N1048">
            <v>488</v>
          </cell>
          <cell r="O1048" t="str">
            <v>235</v>
          </cell>
          <cell r="AP1048">
            <v>724</v>
          </cell>
        </row>
        <row r="1049">
          <cell r="C1049">
            <v>44411</v>
          </cell>
          <cell r="N1049">
            <v>488</v>
          </cell>
          <cell r="O1049" t="str">
            <v>235</v>
          </cell>
          <cell r="AP1049">
            <v>887</v>
          </cell>
        </row>
        <row r="1050">
          <cell r="C1050">
            <v>44411</v>
          </cell>
          <cell r="N1050">
            <v>488</v>
          </cell>
          <cell r="O1050" t="str">
            <v>235</v>
          </cell>
          <cell r="AP1050">
            <v>1002</v>
          </cell>
        </row>
        <row r="1051">
          <cell r="C1051">
            <v>44411</v>
          </cell>
          <cell r="N1051">
            <v>488</v>
          </cell>
          <cell r="O1051" t="str">
            <v>235</v>
          </cell>
          <cell r="AP1051">
            <v>762</v>
          </cell>
        </row>
        <row r="1052">
          <cell r="C1052">
            <v>44411</v>
          </cell>
          <cell r="N1052">
            <v>488</v>
          </cell>
          <cell r="O1052" t="str">
            <v>235</v>
          </cell>
          <cell r="AP1052">
            <v>760</v>
          </cell>
        </row>
        <row r="1053">
          <cell r="C1053">
            <v>44411</v>
          </cell>
          <cell r="N1053">
            <v>488</v>
          </cell>
          <cell r="O1053" t="str">
            <v>235</v>
          </cell>
          <cell r="AP1053">
            <v>763</v>
          </cell>
        </row>
        <row r="1054">
          <cell r="C1054">
            <v>44411</v>
          </cell>
          <cell r="N1054">
            <v>488</v>
          </cell>
          <cell r="O1054" t="str">
            <v>235</v>
          </cell>
          <cell r="AP1054">
            <v>933</v>
          </cell>
        </row>
        <row r="1055">
          <cell r="C1055">
            <v>44412</v>
          </cell>
          <cell r="N1055">
            <v>488</v>
          </cell>
          <cell r="O1055" t="str">
            <v>235</v>
          </cell>
          <cell r="AP1055">
            <v>1024</v>
          </cell>
        </row>
        <row r="1056">
          <cell r="C1056">
            <v>44412</v>
          </cell>
          <cell r="N1056">
            <v>488</v>
          </cell>
          <cell r="O1056" t="str">
            <v>235</v>
          </cell>
          <cell r="AP1056">
            <v>768</v>
          </cell>
        </row>
        <row r="1057">
          <cell r="C1057">
            <v>44412</v>
          </cell>
          <cell r="N1057">
            <v>488</v>
          </cell>
          <cell r="O1057" t="str">
            <v>235</v>
          </cell>
          <cell r="AP1057">
            <v>760</v>
          </cell>
        </row>
        <row r="1058">
          <cell r="C1058">
            <v>44412</v>
          </cell>
          <cell r="N1058">
            <v>488</v>
          </cell>
          <cell r="O1058" t="str">
            <v>235</v>
          </cell>
          <cell r="AP1058">
            <v>769</v>
          </cell>
        </row>
        <row r="1059">
          <cell r="C1059">
            <v>44412</v>
          </cell>
          <cell r="N1059">
            <v>488</v>
          </cell>
          <cell r="O1059" t="str">
            <v>235</v>
          </cell>
          <cell r="AP1059">
            <v>949</v>
          </cell>
        </row>
        <row r="1060">
          <cell r="C1060">
            <v>44412</v>
          </cell>
          <cell r="N1060">
            <v>488</v>
          </cell>
          <cell r="O1060" t="str">
            <v>235</v>
          </cell>
          <cell r="AP1060">
            <v>984</v>
          </cell>
        </row>
        <row r="1061">
          <cell r="C1061">
            <v>44412</v>
          </cell>
          <cell r="N1061">
            <v>488</v>
          </cell>
          <cell r="O1061" t="str">
            <v>235</v>
          </cell>
          <cell r="AP1061">
            <v>749</v>
          </cell>
        </row>
        <row r="1062">
          <cell r="C1062">
            <v>44412</v>
          </cell>
          <cell r="N1062">
            <v>488</v>
          </cell>
          <cell r="O1062" t="str">
            <v>235</v>
          </cell>
          <cell r="AP1062">
            <v>750</v>
          </cell>
        </row>
        <row r="1063">
          <cell r="C1063">
            <v>44412</v>
          </cell>
          <cell r="N1063">
            <v>488</v>
          </cell>
          <cell r="O1063" t="str">
            <v>235</v>
          </cell>
          <cell r="AP1063">
            <v>749</v>
          </cell>
        </row>
        <row r="1064">
          <cell r="C1064">
            <v>44412</v>
          </cell>
          <cell r="N1064">
            <v>488</v>
          </cell>
          <cell r="O1064" t="str">
            <v>235</v>
          </cell>
          <cell r="AP1064">
            <v>918</v>
          </cell>
        </row>
        <row r="1065">
          <cell r="C1065">
            <v>44412</v>
          </cell>
          <cell r="N1065">
            <v>488</v>
          </cell>
          <cell r="O1065" t="str">
            <v>235</v>
          </cell>
          <cell r="AP1065">
            <v>942</v>
          </cell>
        </row>
        <row r="1066">
          <cell r="C1066">
            <v>44412</v>
          </cell>
          <cell r="N1066">
            <v>488</v>
          </cell>
          <cell r="O1066" t="str">
            <v>235</v>
          </cell>
          <cell r="AP1066">
            <v>718</v>
          </cell>
        </row>
        <row r="1067">
          <cell r="C1067">
            <v>44412</v>
          </cell>
          <cell r="N1067">
            <v>488</v>
          </cell>
          <cell r="O1067" t="str">
            <v>235</v>
          </cell>
          <cell r="AP1067">
            <v>716</v>
          </cell>
        </row>
        <row r="1068">
          <cell r="C1068">
            <v>44412</v>
          </cell>
          <cell r="N1068">
            <v>488</v>
          </cell>
          <cell r="O1068" t="str">
            <v>235</v>
          </cell>
          <cell r="AP1068">
            <v>717</v>
          </cell>
        </row>
        <row r="1069">
          <cell r="C1069">
            <v>44412</v>
          </cell>
          <cell r="N1069">
            <v>488</v>
          </cell>
          <cell r="O1069" t="str">
            <v>235</v>
          </cell>
          <cell r="AP1069">
            <v>883</v>
          </cell>
        </row>
        <row r="1070">
          <cell r="C1070">
            <v>44412</v>
          </cell>
          <cell r="N1070">
            <v>488</v>
          </cell>
          <cell r="O1070" t="str">
            <v>235</v>
          </cell>
          <cell r="AP1070">
            <v>957</v>
          </cell>
        </row>
        <row r="1071">
          <cell r="C1071">
            <v>44412</v>
          </cell>
          <cell r="N1071">
            <v>488</v>
          </cell>
          <cell r="O1071" t="str">
            <v>235</v>
          </cell>
          <cell r="AP1071">
            <v>733</v>
          </cell>
        </row>
        <row r="1072">
          <cell r="C1072">
            <v>44412</v>
          </cell>
          <cell r="N1072">
            <v>488</v>
          </cell>
          <cell r="O1072" t="str">
            <v>235</v>
          </cell>
          <cell r="AP1072">
            <v>734</v>
          </cell>
        </row>
        <row r="1073">
          <cell r="C1073">
            <v>44412</v>
          </cell>
          <cell r="N1073">
            <v>488</v>
          </cell>
          <cell r="O1073" t="str">
            <v>235</v>
          </cell>
          <cell r="AP1073">
            <v>732</v>
          </cell>
        </row>
        <row r="1074">
          <cell r="C1074">
            <v>44412</v>
          </cell>
          <cell r="N1074">
            <v>488</v>
          </cell>
          <cell r="O1074" t="str">
            <v>235</v>
          </cell>
          <cell r="AP1074">
            <v>898</v>
          </cell>
        </row>
        <row r="1075">
          <cell r="C1075">
            <v>44411</v>
          </cell>
          <cell r="N1075">
            <v>478</v>
          </cell>
          <cell r="O1075" t="str">
            <v>200</v>
          </cell>
          <cell r="AP1075">
            <v>1213</v>
          </cell>
        </row>
        <row r="1076">
          <cell r="C1076">
            <v>44411</v>
          </cell>
          <cell r="N1076">
            <v>478</v>
          </cell>
          <cell r="O1076" t="str">
            <v>200</v>
          </cell>
          <cell r="AP1076">
            <v>940</v>
          </cell>
        </row>
        <row r="1077">
          <cell r="C1077">
            <v>44411</v>
          </cell>
          <cell r="N1077">
            <v>478</v>
          </cell>
          <cell r="O1077" t="str">
            <v>200</v>
          </cell>
          <cell r="AP1077">
            <v>1000</v>
          </cell>
        </row>
        <row r="1078">
          <cell r="C1078">
            <v>44411</v>
          </cell>
          <cell r="N1078">
            <v>478</v>
          </cell>
          <cell r="O1078" t="str">
            <v>200</v>
          </cell>
          <cell r="AP1078">
            <v>999</v>
          </cell>
        </row>
        <row r="1079">
          <cell r="C1079">
            <v>44411</v>
          </cell>
          <cell r="N1079">
            <v>478</v>
          </cell>
          <cell r="O1079" t="str">
            <v>200</v>
          </cell>
          <cell r="AP1079">
            <v>1241</v>
          </cell>
        </row>
        <row r="1080">
          <cell r="C1080">
            <v>44411</v>
          </cell>
          <cell r="N1080">
            <v>478</v>
          </cell>
          <cell r="O1080" t="str">
            <v>200</v>
          </cell>
          <cell r="AP1080">
            <v>959</v>
          </cell>
        </row>
        <row r="1081">
          <cell r="C1081">
            <v>44411</v>
          </cell>
          <cell r="N1081">
            <v>478</v>
          </cell>
          <cell r="O1081" t="str">
            <v>200</v>
          </cell>
          <cell r="AP1081">
            <v>1019</v>
          </cell>
        </row>
        <row r="1082">
          <cell r="C1082">
            <v>44411</v>
          </cell>
          <cell r="N1082">
            <v>478</v>
          </cell>
          <cell r="O1082" t="str">
            <v>200</v>
          </cell>
          <cell r="AP1082">
            <v>1016</v>
          </cell>
        </row>
        <row r="1083">
          <cell r="C1083">
            <v>44411</v>
          </cell>
          <cell r="N1083">
            <v>478</v>
          </cell>
          <cell r="O1083" t="str">
            <v>200</v>
          </cell>
          <cell r="AP1083">
            <v>1219</v>
          </cell>
        </row>
        <row r="1084">
          <cell r="C1084">
            <v>44411</v>
          </cell>
          <cell r="N1084">
            <v>478</v>
          </cell>
          <cell r="O1084" t="str">
            <v>200</v>
          </cell>
          <cell r="AP1084">
            <v>945</v>
          </cell>
        </row>
        <row r="1085">
          <cell r="C1085">
            <v>44411</v>
          </cell>
          <cell r="N1085">
            <v>478</v>
          </cell>
          <cell r="O1085" t="str">
            <v>200</v>
          </cell>
          <cell r="AP1085">
            <v>1005</v>
          </cell>
        </row>
        <row r="1086">
          <cell r="C1086">
            <v>44411</v>
          </cell>
          <cell r="N1086">
            <v>478</v>
          </cell>
          <cell r="O1086" t="str">
            <v>200</v>
          </cell>
          <cell r="AP1086">
            <v>997</v>
          </cell>
        </row>
        <row r="1087">
          <cell r="C1087">
            <v>44411</v>
          </cell>
          <cell r="N1087">
            <v>478</v>
          </cell>
          <cell r="O1087" t="str">
            <v>200</v>
          </cell>
          <cell r="AP1087">
            <v>1083</v>
          </cell>
        </row>
        <row r="1088">
          <cell r="C1088">
            <v>44411</v>
          </cell>
          <cell r="N1088">
            <v>478</v>
          </cell>
          <cell r="O1088" t="str">
            <v>200</v>
          </cell>
          <cell r="AP1088">
            <v>853</v>
          </cell>
        </row>
        <row r="1089">
          <cell r="C1089">
            <v>44411</v>
          </cell>
          <cell r="N1089">
            <v>478</v>
          </cell>
          <cell r="O1089" t="str">
            <v>200</v>
          </cell>
          <cell r="AP1089">
            <v>908</v>
          </cell>
        </row>
        <row r="1090">
          <cell r="C1090">
            <v>44411</v>
          </cell>
          <cell r="N1090">
            <v>478</v>
          </cell>
          <cell r="O1090" t="str">
            <v>200</v>
          </cell>
          <cell r="AP1090">
            <v>888</v>
          </cell>
        </row>
        <row r="1091">
          <cell r="C1091">
            <v>44412</v>
          </cell>
          <cell r="N1091">
            <v>475</v>
          </cell>
          <cell r="O1091" t="str">
            <v>250</v>
          </cell>
          <cell r="AP1091">
            <v>1171</v>
          </cell>
        </row>
        <row r="1092">
          <cell r="C1092">
            <v>44412</v>
          </cell>
          <cell r="N1092">
            <v>475</v>
          </cell>
          <cell r="O1092" t="str">
            <v>250</v>
          </cell>
          <cell r="AP1092">
            <v>1831</v>
          </cell>
        </row>
        <row r="1093">
          <cell r="C1093">
            <v>44412</v>
          </cell>
          <cell r="N1093">
            <v>475</v>
          </cell>
          <cell r="O1093" t="str">
            <v>250</v>
          </cell>
          <cell r="AP1093">
            <v>959</v>
          </cell>
        </row>
        <row r="1094">
          <cell r="C1094">
            <v>44412</v>
          </cell>
          <cell r="N1094">
            <v>475</v>
          </cell>
          <cell r="O1094" t="str">
            <v>250</v>
          </cell>
          <cell r="AP1094">
            <v>1189</v>
          </cell>
        </row>
        <row r="1095">
          <cell r="C1095">
            <v>44412</v>
          </cell>
          <cell r="N1095">
            <v>475</v>
          </cell>
          <cell r="O1095" t="str">
            <v>250</v>
          </cell>
          <cell r="AP1095">
            <v>1875</v>
          </cell>
        </row>
        <row r="1096">
          <cell r="C1096">
            <v>44412</v>
          </cell>
          <cell r="N1096">
            <v>475</v>
          </cell>
          <cell r="O1096" t="str">
            <v>250</v>
          </cell>
          <cell r="AP1096">
            <v>979</v>
          </cell>
        </row>
        <row r="1097">
          <cell r="C1097">
            <v>44412</v>
          </cell>
          <cell r="N1097">
            <v>475</v>
          </cell>
          <cell r="O1097" t="str">
            <v>250</v>
          </cell>
          <cell r="AP1097">
            <v>1080</v>
          </cell>
        </row>
        <row r="1098">
          <cell r="C1098">
            <v>44412</v>
          </cell>
          <cell r="N1098">
            <v>475</v>
          </cell>
          <cell r="O1098" t="str">
            <v>250</v>
          </cell>
          <cell r="AP1098">
            <v>1703</v>
          </cell>
        </row>
        <row r="1099">
          <cell r="C1099">
            <v>44412</v>
          </cell>
          <cell r="N1099">
            <v>475</v>
          </cell>
          <cell r="O1099" t="str">
            <v>250</v>
          </cell>
          <cell r="AP1099">
            <v>889</v>
          </cell>
        </row>
        <row r="1100">
          <cell r="C1100">
            <v>44412</v>
          </cell>
          <cell r="N1100">
            <v>480</v>
          </cell>
          <cell r="O1100" t="str">
            <v>250</v>
          </cell>
          <cell r="AP1100">
            <v>1249</v>
          </cell>
        </row>
        <row r="1101">
          <cell r="C1101">
            <v>44412</v>
          </cell>
          <cell r="N1101">
            <v>480</v>
          </cell>
          <cell r="O1101" t="str">
            <v>250</v>
          </cell>
          <cell r="AP1101">
            <v>1538</v>
          </cell>
        </row>
        <row r="1102">
          <cell r="C1102">
            <v>44412</v>
          </cell>
          <cell r="N1102">
            <v>480</v>
          </cell>
          <cell r="O1102" t="str">
            <v>250</v>
          </cell>
          <cell r="AP1102">
            <v>1083</v>
          </cell>
        </row>
        <row r="1103">
          <cell r="C1103">
            <v>44412</v>
          </cell>
          <cell r="N1103">
            <v>480</v>
          </cell>
          <cell r="O1103" t="str">
            <v>250</v>
          </cell>
          <cell r="AP1103">
            <v>1352</v>
          </cell>
        </row>
        <row r="1104">
          <cell r="C1104">
            <v>44412</v>
          </cell>
          <cell r="N1104">
            <v>480</v>
          </cell>
          <cell r="O1104" t="str">
            <v>250</v>
          </cell>
          <cell r="AP1104">
            <v>1638</v>
          </cell>
        </row>
        <row r="1105">
          <cell r="C1105">
            <v>44412</v>
          </cell>
          <cell r="N1105">
            <v>480</v>
          </cell>
          <cell r="O1105" t="str">
            <v>250</v>
          </cell>
          <cell r="AP1105">
            <v>1178</v>
          </cell>
        </row>
        <row r="1106">
          <cell r="C1106">
            <v>44412</v>
          </cell>
          <cell r="N1106">
            <v>480</v>
          </cell>
          <cell r="O1106" t="str">
            <v>250</v>
          </cell>
          <cell r="AP1106">
            <v>1481</v>
          </cell>
        </row>
        <row r="1107">
          <cell r="C1107">
            <v>44412</v>
          </cell>
          <cell r="N1107">
            <v>480</v>
          </cell>
          <cell r="O1107" t="str">
            <v>250</v>
          </cell>
          <cell r="AP1107">
            <v>1223</v>
          </cell>
        </row>
        <row r="1108">
          <cell r="C1108">
            <v>44412</v>
          </cell>
          <cell r="N1108">
            <v>480</v>
          </cell>
          <cell r="O1108" t="str">
            <v>250</v>
          </cell>
          <cell r="AP1108">
            <v>1490</v>
          </cell>
        </row>
        <row r="1109">
          <cell r="C1109">
            <v>44412</v>
          </cell>
          <cell r="N1109">
            <v>480</v>
          </cell>
          <cell r="O1109" t="str">
            <v>250</v>
          </cell>
          <cell r="AP1109">
            <v>1493</v>
          </cell>
        </row>
        <row r="1110">
          <cell r="C1110">
            <v>44412</v>
          </cell>
          <cell r="N1110">
            <v>480</v>
          </cell>
          <cell r="O1110" t="str">
            <v>250</v>
          </cell>
          <cell r="AP1110">
            <v>1234</v>
          </cell>
        </row>
        <row r="1111">
          <cell r="C1111">
            <v>44412</v>
          </cell>
          <cell r="N1111">
            <v>480</v>
          </cell>
          <cell r="O1111" t="str">
            <v>250</v>
          </cell>
          <cell r="AP1111">
            <v>1495</v>
          </cell>
        </row>
        <row r="1112">
          <cell r="C1112">
            <v>44412</v>
          </cell>
          <cell r="N1112">
            <v>480</v>
          </cell>
          <cell r="O1112" t="str">
            <v>250</v>
          </cell>
          <cell r="AP1112">
            <v>1448</v>
          </cell>
        </row>
        <row r="1113">
          <cell r="C1113">
            <v>44412</v>
          </cell>
          <cell r="N1113">
            <v>480</v>
          </cell>
          <cell r="O1113" t="str">
            <v>250</v>
          </cell>
          <cell r="AP1113">
            <v>1195</v>
          </cell>
        </row>
        <row r="1114">
          <cell r="C1114">
            <v>44412</v>
          </cell>
          <cell r="N1114">
            <v>480</v>
          </cell>
          <cell r="O1114" t="str">
            <v>250</v>
          </cell>
          <cell r="AP1114">
            <v>1445</v>
          </cell>
        </row>
        <row r="1115">
          <cell r="C1115">
            <v>44412</v>
          </cell>
          <cell r="N1115">
            <v>485</v>
          </cell>
          <cell r="O1115" t="str">
            <v>250</v>
          </cell>
          <cell r="AP1115">
            <v>1377</v>
          </cell>
        </row>
        <row r="1116">
          <cell r="C1116">
            <v>44412</v>
          </cell>
          <cell r="N1116">
            <v>485</v>
          </cell>
          <cell r="O1116" t="str">
            <v>250</v>
          </cell>
          <cell r="AP1116">
            <v>1507</v>
          </cell>
        </row>
        <row r="1117">
          <cell r="C1117">
            <v>44412</v>
          </cell>
          <cell r="N1117">
            <v>485</v>
          </cell>
          <cell r="O1117" t="str">
            <v>250</v>
          </cell>
          <cell r="AP1117">
            <v>1173</v>
          </cell>
        </row>
        <row r="1118">
          <cell r="C1118">
            <v>44412</v>
          </cell>
          <cell r="N1118">
            <v>485</v>
          </cell>
          <cell r="O1118" t="str">
            <v>250</v>
          </cell>
          <cell r="AP1118">
            <v>1330</v>
          </cell>
        </row>
        <row r="1119">
          <cell r="C1119">
            <v>44412</v>
          </cell>
          <cell r="N1119">
            <v>485</v>
          </cell>
          <cell r="O1119" t="str">
            <v>250</v>
          </cell>
          <cell r="AP1119">
            <v>1457</v>
          </cell>
        </row>
        <row r="1120">
          <cell r="C1120">
            <v>44412</v>
          </cell>
          <cell r="N1120">
            <v>485</v>
          </cell>
          <cell r="O1120" t="str">
            <v>250</v>
          </cell>
          <cell r="AP1120">
            <v>1131</v>
          </cell>
        </row>
        <row r="1121">
          <cell r="C1121">
            <v>44412</v>
          </cell>
          <cell r="N1121">
            <v>485</v>
          </cell>
          <cell r="O1121" t="str">
            <v>250</v>
          </cell>
          <cell r="AP1121">
            <v>1129</v>
          </cell>
        </row>
        <row r="1122">
          <cell r="C1122">
            <v>44412</v>
          </cell>
          <cell r="N1122">
            <v>485</v>
          </cell>
          <cell r="O1122" t="str">
            <v>250</v>
          </cell>
          <cell r="AP1122">
            <v>931</v>
          </cell>
        </row>
        <row r="1123">
          <cell r="C1123">
            <v>44412</v>
          </cell>
          <cell r="N1123">
            <v>485</v>
          </cell>
          <cell r="O1123" t="str">
            <v>250</v>
          </cell>
          <cell r="AP1123">
            <v>929</v>
          </cell>
        </row>
        <row r="1124">
          <cell r="C1124">
            <v>44412</v>
          </cell>
          <cell r="N1124">
            <v>485</v>
          </cell>
          <cell r="O1124" t="str">
            <v>250</v>
          </cell>
          <cell r="AP1124">
            <v>930</v>
          </cell>
        </row>
        <row r="1125">
          <cell r="C1125">
            <v>44412</v>
          </cell>
          <cell r="N1125">
            <v>485</v>
          </cell>
          <cell r="O1125" t="str">
            <v>250</v>
          </cell>
          <cell r="AP1125">
            <v>1233</v>
          </cell>
        </row>
        <row r="1126">
          <cell r="C1126">
            <v>44412</v>
          </cell>
          <cell r="N1126">
            <v>485</v>
          </cell>
          <cell r="O1126" t="str">
            <v>250</v>
          </cell>
          <cell r="AP1126">
            <v>1007</v>
          </cell>
        </row>
        <row r="1127">
          <cell r="C1127">
            <v>44412</v>
          </cell>
          <cell r="N1127">
            <v>485</v>
          </cell>
          <cell r="O1127" t="str">
            <v>250</v>
          </cell>
          <cell r="AP1127">
            <v>1006</v>
          </cell>
        </row>
        <row r="1128">
          <cell r="C1128">
            <v>44412</v>
          </cell>
          <cell r="N1128">
            <v>485</v>
          </cell>
          <cell r="O1128" t="str">
            <v>250</v>
          </cell>
          <cell r="AP1128">
            <v>1003</v>
          </cell>
        </row>
        <row r="1129">
          <cell r="C1129">
            <v>44412</v>
          </cell>
          <cell r="N1129">
            <v>485</v>
          </cell>
          <cell r="O1129" t="str">
            <v>250</v>
          </cell>
          <cell r="AP1129">
            <v>1194</v>
          </cell>
        </row>
        <row r="1130">
          <cell r="C1130">
            <v>44412</v>
          </cell>
          <cell r="N1130">
            <v>485</v>
          </cell>
          <cell r="O1130" t="str">
            <v>250</v>
          </cell>
          <cell r="AP1130">
            <v>984</v>
          </cell>
        </row>
        <row r="1131">
          <cell r="C1131">
            <v>44412</v>
          </cell>
          <cell r="N1131">
            <v>485</v>
          </cell>
          <cell r="O1131" t="str">
            <v>250</v>
          </cell>
          <cell r="AP1131">
            <v>984</v>
          </cell>
        </row>
        <row r="1132">
          <cell r="C1132">
            <v>44412</v>
          </cell>
          <cell r="N1132">
            <v>485</v>
          </cell>
          <cell r="O1132" t="str">
            <v>250</v>
          </cell>
          <cell r="AP1132">
            <v>984</v>
          </cell>
        </row>
        <row r="1133">
          <cell r="C1133">
            <v>44412</v>
          </cell>
          <cell r="N1133">
            <v>485</v>
          </cell>
          <cell r="O1133" t="str">
            <v>250</v>
          </cell>
          <cell r="AP1133">
            <v>1165</v>
          </cell>
        </row>
        <row r="1134">
          <cell r="C1134">
            <v>44412</v>
          </cell>
          <cell r="N1134">
            <v>485</v>
          </cell>
          <cell r="O1134" t="str">
            <v>250</v>
          </cell>
          <cell r="AP1134">
            <v>961</v>
          </cell>
        </row>
        <row r="1135">
          <cell r="C1135">
            <v>44412</v>
          </cell>
          <cell r="N1135">
            <v>485</v>
          </cell>
          <cell r="O1135" t="str">
            <v>250</v>
          </cell>
          <cell r="AP1135">
            <v>960</v>
          </cell>
        </row>
        <row r="1136">
          <cell r="C1136">
            <v>44412</v>
          </cell>
          <cell r="N1136">
            <v>485</v>
          </cell>
          <cell r="O1136" t="str">
            <v>250</v>
          </cell>
          <cell r="AP1136">
            <v>962</v>
          </cell>
        </row>
        <row r="1137">
          <cell r="C1137">
            <v>44412</v>
          </cell>
          <cell r="N1137">
            <v>485</v>
          </cell>
          <cell r="O1137" t="str">
            <v>250</v>
          </cell>
          <cell r="AP1137">
            <v>1206</v>
          </cell>
        </row>
        <row r="1138">
          <cell r="C1138">
            <v>44412</v>
          </cell>
          <cell r="N1138">
            <v>485</v>
          </cell>
          <cell r="O1138" t="str">
            <v>250</v>
          </cell>
          <cell r="AP1138">
            <v>997</v>
          </cell>
        </row>
        <row r="1139">
          <cell r="C1139">
            <v>44412</v>
          </cell>
          <cell r="N1139">
            <v>485</v>
          </cell>
          <cell r="O1139" t="str">
            <v>250</v>
          </cell>
          <cell r="AP1139">
            <v>996</v>
          </cell>
        </row>
        <row r="1140">
          <cell r="C1140">
            <v>44412</v>
          </cell>
          <cell r="N1140">
            <v>485</v>
          </cell>
          <cell r="O1140" t="str">
            <v>250</v>
          </cell>
          <cell r="AP1140">
            <v>996</v>
          </cell>
        </row>
        <row r="1141">
          <cell r="C1141">
            <v>44412</v>
          </cell>
          <cell r="N1141">
            <v>485</v>
          </cell>
          <cell r="O1141" t="str">
            <v>250</v>
          </cell>
          <cell r="AP1141">
            <v>1226</v>
          </cell>
        </row>
        <row r="1142">
          <cell r="C1142">
            <v>44412</v>
          </cell>
          <cell r="N1142">
            <v>485</v>
          </cell>
          <cell r="O1142" t="str">
            <v>250</v>
          </cell>
          <cell r="AP1142">
            <v>1013</v>
          </cell>
        </row>
        <row r="1143">
          <cell r="C1143">
            <v>44412</v>
          </cell>
          <cell r="N1143">
            <v>485</v>
          </cell>
          <cell r="O1143" t="str">
            <v>250</v>
          </cell>
          <cell r="AP1143">
            <v>1012</v>
          </cell>
        </row>
        <row r="1144">
          <cell r="C1144">
            <v>44412</v>
          </cell>
          <cell r="N1144">
            <v>485</v>
          </cell>
          <cell r="O1144" t="str">
            <v>250</v>
          </cell>
          <cell r="AP1144">
            <v>1012</v>
          </cell>
        </row>
        <row r="1145">
          <cell r="C1145">
            <v>44412</v>
          </cell>
          <cell r="N1145">
            <v>475</v>
          </cell>
          <cell r="O1145" t="str">
            <v>250</v>
          </cell>
          <cell r="AP1145">
            <v>1266</v>
          </cell>
        </row>
        <row r="1146">
          <cell r="C1146">
            <v>44412</v>
          </cell>
          <cell r="N1146">
            <v>475</v>
          </cell>
          <cell r="O1146" t="str">
            <v>250</v>
          </cell>
          <cell r="AP1146">
            <v>1782</v>
          </cell>
        </row>
        <row r="1147">
          <cell r="C1147">
            <v>44412</v>
          </cell>
          <cell r="N1147">
            <v>475</v>
          </cell>
          <cell r="O1147" t="str">
            <v>250</v>
          </cell>
          <cell r="AP1147">
            <v>976</v>
          </cell>
        </row>
        <row r="1148">
          <cell r="C1148">
            <v>44412</v>
          </cell>
          <cell r="N1148">
            <v>475</v>
          </cell>
          <cell r="O1148" t="str">
            <v>250</v>
          </cell>
          <cell r="AP1148">
            <v>1008</v>
          </cell>
        </row>
        <row r="1149">
          <cell r="C1149">
            <v>44412</v>
          </cell>
          <cell r="N1149">
            <v>475</v>
          </cell>
          <cell r="O1149" t="str">
            <v>250</v>
          </cell>
          <cell r="AP1149">
            <v>1014</v>
          </cell>
        </row>
        <row r="1150">
          <cell r="C1150">
            <v>44412</v>
          </cell>
          <cell r="N1150">
            <v>475</v>
          </cell>
          <cell r="O1150" t="str">
            <v>250</v>
          </cell>
          <cell r="AP1150">
            <v>1018</v>
          </cell>
        </row>
        <row r="1151">
          <cell r="C1151">
            <v>44412</v>
          </cell>
          <cell r="N1151">
            <v>475</v>
          </cell>
          <cell r="O1151" t="str">
            <v>250</v>
          </cell>
          <cell r="AP1151">
            <v>973</v>
          </cell>
        </row>
        <row r="1152">
          <cell r="C1152">
            <v>44412</v>
          </cell>
          <cell r="N1152">
            <v>475</v>
          </cell>
          <cell r="O1152" t="str">
            <v>250</v>
          </cell>
          <cell r="AP1152">
            <v>890</v>
          </cell>
        </row>
        <row r="1153">
          <cell r="C1153">
            <v>44412</v>
          </cell>
          <cell r="N1153">
            <v>475</v>
          </cell>
          <cell r="O1153" t="str">
            <v>250</v>
          </cell>
          <cell r="AP1153">
            <v>890</v>
          </cell>
        </row>
        <row r="1154">
          <cell r="C1154">
            <v>44412</v>
          </cell>
          <cell r="N1154">
            <v>475</v>
          </cell>
          <cell r="O1154" t="str">
            <v>250</v>
          </cell>
          <cell r="AP1154">
            <v>893</v>
          </cell>
        </row>
        <row r="1155">
          <cell r="C1155">
            <v>44412</v>
          </cell>
          <cell r="N1155">
            <v>475</v>
          </cell>
          <cell r="O1155" t="str">
            <v>250</v>
          </cell>
          <cell r="AP1155">
            <v>851</v>
          </cell>
        </row>
        <row r="1156">
          <cell r="C1156">
            <v>44412</v>
          </cell>
          <cell r="N1156">
            <v>475</v>
          </cell>
          <cell r="O1156" t="str">
            <v>250</v>
          </cell>
          <cell r="AP1156">
            <v>1246</v>
          </cell>
        </row>
        <row r="1157">
          <cell r="C1157">
            <v>44412</v>
          </cell>
          <cell r="N1157">
            <v>475</v>
          </cell>
          <cell r="O1157" t="str">
            <v>250</v>
          </cell>
          <cell r="AP1157">
            <v>1745</v>
          </cell>
        </row>
        <row r="1158">
          <cell r="C1158">
            <v>44412</v>
          </cell>
          <cell r="N1158">
            <v>475</v>
          </cell>
          <cell r="O1158" t="str">
            <v>250</v>
          </cell>
          <cell r="AP1158">
            <v>944</v>
          </cell>
        </row>
        <row r="1159">
          <cell r="C1159">
            <v>44412</v>
          </cell>
          <cell r="N1159">
            <v>484</v>
          </cell>
          <cell r="O1159" t="str">
            <v>250</v>
          </cell>
          <cell r="AP1159">
            <v>905</v>
          </cell>
        </row>
        <row r="1160">
          <cell r="C1160">
            <v>44412</v>
          </cell>
          <cell r="N1160">
            <v>484</v>
          </cell>
          <cell r="O1160" t="str">
            <v>250</v>
          </cell>
          <cell r="AP1160">
            <v>906</v>
          </cell>
        </row>
        <row r="1161">
          <cell r="C1161">
            <v>44412</v>
          </cell>
          <cell r="N1161">
            <v>484</v>
          </cell>
          <cell r="O1161" t="str">
            <v>250</v>
          </cell>
          <cell r="AP1161">
            <v>911</v>
          </cell>
        </row>
        <row r="1162">
          <cell r="C1162">
            <v>44412</v>
          </cell>
          <cell r="N1162">
            <v>484</v>
          </cell>
          <cell r="O1162" t="str">
            <v>250</v>
          </cell>
          <cell r="AP1162">
            <v>1337</v>
          </cell>
        </row>
        <row r="1163">
          <cell r="C1163">
            <v>44412</v>
          </cell>
          <cell r="N1163">
            <v>484</v>
          </cell>
          <cell r="O1163" t="str">
            <v>250</v>
          </cell>
          <cell r="AP1163">
            <v>897</v>
          </cell>
        </row>
        <row r="1164">
          <cell r="C1164">
            <v>44412</v>
          </cell>
          <cell r="N1164">
            <v>484</v>
          </cell>
          <cell r="O1164" t="str">
            <v>250</v>
          </cell>
          <cell r="AP1164">
            <v>905</v>
          </cell>
        </row>
        <row r="1165">
          <cell r="C1165">
            <v>44412</v>
          </cell>
          <cell r="N1165">
            <v>484</v>
          </cell>
          <cell r="O1165" t="str">
            <v>250</v>
          </cell>
          <cell r="AP1165">
            <v>902</v>
          </cell>
        </row>
        <row r="1166">
          <cell r="C1166">
            <v>44412</v>
          </cell>
          <cell r="N1166">
            <v>484</v>
          </cell>
          <cell r="O1166" t="str">
            <v>250</v>
          </cell>
          <cell r="AP1166">
            <v>1332</v>
          </cell>
        </row>
        <row r="1167">
          <cell r="C1167">
            <v>44412</v>
          </cell>
          <cell r="N1167">
            <v>484</v>
          </cell>
          <cell r="O1167" t="str">
            <v>250</v>
          </cell>
          <cell r="AP1167">
            <v>904</v>
          </cell>
        </row>
        <row r="1168">
          <cell r="C1168">
            <v>44412</v>
          </cell>
          <cell r="N1168">
            <v>484</v>
          </cell>
          <cell r="O1168" t="str">
            <v>250</v>
          </cell>
          <cell r="AP1168">
            <v>900</v>
          </cell>
        </row>
        <row r="1169">
          <cell r="C1169">
            <v>44412</v>
          </cell>
          <cell r="N1169">
            <v>484</v>
          </cell>
          <cell r="O1169" t="str">
            <v>250</v>
          </cell>
          <cell r="AP1169">
            <v>908</v>
          </cell>
        </row>
        <row r="1170">
          <cell r="C1170">
            <v>44412</v>
          </cell>
          <cell r="N1170">
            <v>484</v>
          </cell>
          <cell r="O1170" t="str">
            <v>250</v>
          </cell>
          <cell r="AP1170">
            <v>1335</v>
          </cell>
        </row>
        <row r="1171">
          <cell r="C1171">
            <v>44412</v>
          </cell>
          <cell r="N1171">
            <v>484</v>
          </cell>
          <cell r="O1171" t="str">
            <v>250</v>
          </cell>
          <cell r="AP1171">
            <v>902</v>
          </cell>
        </row>
        <row r="1172">
          <cell r="C1172">
            <v>44412</v>
          </cell>
          <cell r="N1172">
            <v>484</v>
          </cell>
          <cell r="O1172" t="str">
            <v>250</v>
          </cell>
          <cell r="AP1172">
            <v>910</v>
          </cell>
        </row>
        <row r="1173">
          <cell r="C1173">
            <v>44412</v>
          </cell>
          <cell r="N1173">
            <v>484</v>
          </cell>
          <cell r="O1173" t="str">
            <v>250</v>
          </cell>
          <cell r="AP1173">
            <v>908</v>
          </cell>
        </row>
        <row r="1174">
          <cell r="C1174">
            <v>44412</v>
          </cell>
          <cell r="N1174">
            <v>484</v>
          </cell>
          <cell r="O1174" t="str">
            <v>250</v>
          </cell>
          <cell r="AP1174">
            <v>1343</v>
          </cell>
        </row>
        <row r="1175">
          <cell r="C1175">
            <v>44412</v>
          </cell>
          <cell r="N1175">
            <v>484</v>
          </cell>
          <cell r="O1175" t="str">
            <v>250</v>
          </cell>
          <cell r="AP1175">
            <v>908</v>
          </cell>
        </row>
        <row r="1176">
          <cell r="C1176">
            <v>44412</v>
          </cell>
          <cell r="N1176">
            <v>484</v>
          </cell>
          <cell r="O1176" t="str">
            <v>250</v>
          </cell>
          <cell r="AP1176">
            <v>919</v>
          </cell>
        </row>
        <row r="1177">
          <cell r="C1177">
            <v>44412</v>
          </cell>
          <cell r="N1177">
            <v>484</v>
          </cell>
          <cell r="O1177" t="str">
            <v>250</v>
          </cell>
          <cell r="AP1177">
            <v>916</v>
          </cell>
        </row>
        <row r="1178">
          <cell r="C1178">
            <v>44412</v>
          </cell>
          <cell r="N1178">
            <v>484</v>
          </cell>
          <cell r="O1178" t="str">
            <v>250</v>
          </cell>
          <cell r="AP1178">
            <v>1356</v>
          </cell>
        </row>
        <row r="1179">
          <cell r="C1179">
            <v>44412</v>
          </cell>
          <cell r="N1179">
            <v>483</v>
          </cell>
          <cell r="O1179" t="str">
            <v>250</v>
          </cell>
          <cell r="AP1179">
            <v>895</v>
          </cell>
        </row>
        <row r="1180">
          <cell r="C1180">
            <v>44412</v>
          </cell>
          <cell r="N1180">
            <v>483</v>
          </cell>
          <cell r="O1180" t="str">
            <v>250</v>
          </cell>
          <cell r="AP1180">
            <v>902</v>
          </cell>
        </row>
        <row r="1181">
          <cell r="C1181">
            <v>44412</v>
          </cell>
          <cell r="N1181">
            <v>483</v>
          </cell>
          <cell r="O1181" t="str">
            <v>250</v>
          </cell>
          <cell r="AP1181">
            <v>885</v>
          </cell>
        </row>
        <row r="1182">
          <cell r="C1182">
            <v>44412</v>
          </cell>
          <cell r="N1182">
            <v>483</v>
          </cell>
          <cell r="O1182" t="str">
            <v>250</v>
          </cell>
          <cell r="AP1182">
            <v>1260</v>
          </cell>
        </row>
        <row r="1183">
          <cell r="C1183">
            <v>44412</v>
          </cell>
          <cell r="N1183">
            <v>475</v>
          </cell>
          <cell r="O1183" t="str">
            <v>250</v>
          </cell>
          <cell r="AP1183">
            <v>918</v>
          </cell>
        </row>
        <row r="1184">
          <cell r="C1184">
            <v>44412</v>
          </cell>
          <cell r="N1184">
            <v>475</v>
          </cell>
          <cell r="O1184" t="str">
            <v>250</v>
          </cell>
          <cell r="AP1184">
            <v>919</v>
          </cell>
        </row>
        <row r="1185">
          <cell r="C1185">
            <v>44412</v>
          </cell>
          <cell r="N1185">
            <v>475</v>
          </cell>
          <cell r="O1185" t="str">
            <v>250</v>
          </cell>
          <cell r="AP1185">
            <v>957</v>
          </cell>
        </row>
        <row r="1186">
          <cell r="C1186">
            <v>44412</v>
          </cell>
          <cell r="N1186">
            <v>475</v>
          </cell>
          <cell r="O1186" t="str">
            <v>250</v>
          </cell>
          <cell r="AP1186">
            <v>1156</v>
          </cell>
        </row>
        <row r="1187">
          <cell r="C1187">
            <v>44412</v>
          </cell>
          <cell r="N1187">
            <v>475</v>
          </cell>
          <cell r="O1187" t="str">
            <v>250</v>
          </cell>
          <cell r="AP1187">
            <v>926</v>
          </cell>
        </row>
        <row r="1188">
          <cell r="C1188">
            <v>44412</v>
          </cell>
          <cell r="N1188">
            <v>475</v>
          </cell>
          <cell r="O1188" t="str">
            <v>250</v>
          </cell>
          <cell r="AP1188">
            <v>929</v>
          </cell>
        </row>
        <row r="1189">
          <cell r="C1189">
            <v>44412</v>
          </cell>
          <cell r="N1189">
            <v>475</v>
          </cell>
          <cell r="O1189" t="str">
            <v>250</v>
          </cell>
          <cell r="AP1189">
            <v>966</v>
          </cell>
        </row>
        <row r="1190">
          <cell r="C1190">
            <v>44412</v>
          </cell>
          <cell r="N1190">
            <v>475</v>
          </cell>
          <cell r="O1190" t="str">
            <v>250</v>
          </cell>
          <cell r="AP1190">
            <v>1167</v>
          </cell>
        </row>
        <row r="1191">
          <cell r="C1191">
            <v>44412</v>
          </cell>
          <cell r="N1191">
            <v>475</v>
          </cell>
          <cell r="O1191" t="str">
            <v>250</v>
          </cell>
          <cell r="AP1191">
            <v>882</v>
          </cell>
        </row>
        <row r="1192">
          <cell r="C1192">
            <v>44412</v>
          </cell>
          <cell r="N1192">
            <v>475</v>
          </cell>
          <cell r="O1192" t="str">
            <v>250</v>
          </cell>
          <cell r="AP1192">
            <v>880</v>
          </cell>
        </row>
        <row r="1193">
          <cell r="C1193">
            <v>44412</v>
          </cell>
          <cell r="N1193">
            <v>475</v>
          </cell>
          <cell r="O1193" t="str">
            <v>250</v>
          </cell>
          <cell r="AP1193">
            <v>902</v>
          </cell>
        </row>
        <row r="1194">
          <cell r="C1194">
            <v>44412</v>
          </cell>
          <cell r="N1194">
            <v>475</v>
          </cell>
          <cell r="O1194" t="str">
            <v>250</v>
          </cell>
          <cell r="AP1194">
            <v>1121</v>
          </cell>
        </row>
        <row r="1195">
          <cell r="C1195">
            <v>44412</v>
          </cell>
          <cell r="N1195">
            <v>475</v>
          </cell>
          <cell r="O1195" t="str">
            <v>250</v>
          </cell>
          <cell r="AP1195">
            <v>918</v>
          </cell>
        </row>
        <row r="1196">
          <cell r="C1196">
            <v>44412</v>
          </cell>
          <cell r="N1196">
            <v>475</v>
          </cell>
          <cell r="O1196" t="str">
            <v>250</v>
          </cell>
          <cell r="AP1196">
            <v>917</v>
          </cell>
        </row>
        <row r="1197">
          <cell r="C1197">
            <v>44412</v>
          </cell>
          <cell r="N1197">
            <v>475</v>
          </cell>
          <cell r="O1197" t="str">
            <v>250</v>
          </cell>
          <cell r="AP1197">
            <v>956</v>
          </cell>
        </row>
        <row r="1198">
          <cell r="C1198">
            <v>44412</v>
          </cell>
          <cell r="N1198">
            <v>475</v>
          </cell>
          <cell r="O1198" t="str">
            <v>250</v>
          </cell>
          <cell r="AP1198">
            <v>1157</v>
          </cell>
        </row>
        <row r="1199">
          <cell r="C1199">
            <v>44412</v>
          </cell>
          <cell r="N1199">
            <v>475</v>
          </cell>
          <cell r="O1199" t="str">
            <v>250</v>
          </cell>
          <cell r="AP1199">
            <v>917</v>
          </cell>
        </row>
        <row r="1200">
          <cell r="C1200">
            <v>44412</v>
          </cell>
          <cell r="N1200">
            <v>475</v>
          </cell>
          <cell r="O1200" t="str">
            <v>250</v>
          </cell>
          <cell r="AP1200">
            <v>918</v>
          </cell>
        </row>
        <row r="1201">
          <cell r="C1201">
            <v>44412</v>
          </cell>
          <cell r="N1201">
            <v>475</v>
          </cell>
          <cell r="O1201" t="str">
            <v>250</v>
          </cell>
          <cell r="AP1201">
            <v>960</v>
          </cell>
        </row>
        <row r="1202">
          <cell r="C1202">
            <v>44412</v>
          </cell>
          <cell r="N1202">
            <v>475</v>
          </cell>
          <cell r="O1202" t="str">
            <v>250</v>
          </cell>
          <cell r="AP1202">
            <v>1161</v>
          </cell>
        </row>
        <row r="1203">
          <cell r="C1203">
            <v>44412</v>
          </cell>
          <cell r="N1203">
            <v>475</v>
          </cell>
          <cell r="O1203" t="str">
            <v>250</v>
          </cell>
          <cell r="AP1203">
            <v>919</v>
          </cell>
        </row>
        <row r="1204">
          <cell r="C1204">
            <v>44412</v>
          </cell>
          <cell r="N1204">
            <v>475</v>
          </cell>
          <cell r="O1204" t="str">
            <v>250</v>
          </cell>
          <cell r="AP1204">
            <v>913</v>
          </cell>
        </row>
        <row r="1205">
          <cell r="C1205">
            <v>44412</v>
          </cell>
          <cell r="N1205">
            <v>475</v>
          </cell>
          <cell r="O1205" t="str">
            <v>250</v>
          </cell>
          <cell r="AP1205">
            <v>943</v>
          </cell>
        </row>
        <row r="1206">
          <cell r="C1206">
            <v>44412</v>
          </cell>
          <cell r="N1206">
            <v>475</v>
          </cell>
          <cell r="O1206" t="str">
            <v>250</v>
          </cell>
          <cell r="AP1206">
            <v>1129</v>
          </cell>
        </row>
        <row r="1207">
          <cell r="C1207">
            <v>44411</v>
          </cell>
          <cell r="N1207">
            <v>475</v>
          </cell>
          <cell r="O1207" t="str">
            <v>170</v>
          </cell>
          <cell r="AP1207">
            <v>1380</v>
          </cell>
        </row>
        <row r="1208">
          <cell r="C1208">
            <v>44411</v>
          </cell>
          <cell r="N1208">
            <v>475</v>
          </cell>
          <cell r="O1208" t="str">
            <v>170</v>
          </cell>
          <cell r="AP1208">
            <v>1305</v>
          </cell>
        </row>
        <row r="1209">
          <cell r="C1209">
            <v>44411</v>
          </cell>
          <cell r="N1209">
            <v>475</v>
          </cell>
          <cell r="O1209" t="str">
            <v>170</v>
          </cell>
          <cell r="AP1209">
            <v>1423</v>
          </cell>
        </row>
        <row r="1210">
          <cell r="C1210">
            <v>44411</v>
          </cell>
          <cell r="N1210">
            <v>475</v>
          </cell>
          <cell r="O1210" t="str">
            <v>170</v>
          </cell>
          <cell r="AP1210">
            <v>1392</v>
          </cell>
        </row>
        <row r="1211">
          <cell r="C1211">
            <v>44411</v>
          </cell>
          <cell r="N1211">
            <v>475</v>
          </cell>
          <cell r="O1211" t="str">
            <v>170</v>
          </cell>
          <cell r="AP1211">
            <v>1317</v>
          </cell>
        </row>
        <row r="1212">
          <cell r="C1212">
            <v>44411</v>
          </cell>
          <cell r="N1212">
            <v>475</v>
          </cell>
          <cell r="O1212" t="str">
            <v>170</v>
          </cell>
          <cell r="AP1212">
            <v>1434</v>
          </cell>
        </row>
        <row r="1213">
          <cell r="C1213">
            <v>44411</v>
          </cell>
          <cell r="N1213">
            <v>475</v>
          </cell>
          <cell r="O1213" t="str">
            <v>170</v>
          </cell>
          <cell r="AP1213">
            <v>1463</v>
          </cell>
        </row>
        <row r="1214">
          <cell r="C1214">
            <v>44411</v>
          </cell>
          <cell r="N1214">
            <v>475</v>
          </cell>
          <cell r="O1214" t="str">
            <v>170</v>
          </cell>
          <cell r="AP1214">
            <v>1378</v>
          </cell>
        </row>
        <row r="1215">
          <cell r="C1215">
            <v>44411</v>
          </cell>
          <cell r="N1215">
            <v>475</v>
          </cell>
          <cell r="O1215" t="str">
            <v>170</v>
          </cell>
          <cell r="AP1215">
            <v>1503</v>
          </cell>
        </row>
        <row r="1216">
          <cell r="C1216">
            <v>44411</v>
          </cell>
          <cell r="N1216">
            <v>485</v>
          </cell>
          <cell r="O1216" t="str">
            <v>170</v>
          </cell>
          <cell r="AP1216">
            <v>1400</v>
          </cell>
        </row>
        <row r="1217">
          <cell r="C1217">
            <v>44411</v>
          </cell>
          <cell r="N1217">
            <v>485</v>
          </cell>
          <cell r="O1217" t="str">
            <v>170</v>
          </cell>
          <cell r="AP1217">
            <v>1732</v>
          </cell>
        </row>
        <row r="1218">
          <cell r="C1218">
            <v>44411</v>
          </cell>
          <cell r="N1218">
            <v>485</v>
          </cell>
          <cell r="O1218" t="str">
            <v>170</v>
          </cell>
          <cell r="AP1218">
            <v>1381</v>
          </cell>
        </row>
        <row r="1219">
          <cell r="C1219">
            <v>44412</v>
          </cell>
          <cell r="N1219">
            <v>485</v>
          </cell>
          <cell r="O1219" t="str">
            <v>170</v>
          </cell>
          <cell r="AP1219">
            <v>1485</v>
          </cell>
        </row>
        <row r="1220">
          <cell r="C1220">
            <v>44412</v>
          </cell>
          <cell r="N1220">
            <v>485</v>
          </cell>
          <cell r="O1220" t="str">
            <v>170</v>
          </cell>
          <cell r="AP1220">
            <v>1093</v>
          </cell>
        </row>
        <row r="1221">
          <cell r="C1221">
            <v>44412</v>
          </cell>
          <cell r="N1221">
            <v>485</v>
          </cell>
          <cell r="O1221" t="str">
            <v>170</v>
          </cell>
          <cell r="AP1221">
            <v>1606</v>
          </cell>
        </row>
        <row r="1222">
          <cell r="C1222">
            <v>44412</v>
          </cell>
          <cell r="N1222">
            <v>485</v>
          </cell>
          <cell r="O1222" t="str">
            <v>170</v>
          </cell>
          <cell r="AP1222">
            <v>1474</v>
          </cell>
        </row>
        <row r="1223">
          <cell r="C1223">
            <v>44412</v>
          </cell>
          <cell r="N1223">
            <v>485</v>
          </cell>
          <cell r="O1223" t="str">
            <v>170</v>
          </cell>
          <cell r="AP1223">
            <v>1085</v>
          </cell>
        </row>
        <row r="1224">
          <cell r="C1224">
            <v>44412</v>
          </cell>
          <cell r="N1224">
            <v>485</v>
          </cell>
          <cell r="O1224" t="str">
            <v>170</v>
          </cell>
          <cell r="AP1224">
            <v>1596</v>
          </cell>
        </row>
        <row r="1225">
          <cell r="C1225">
            <v>44412</v>
          </cell>
          <cell r="N1225">
            <v>485</v>
          </cell>
          <cell r="O1225" t="str">
            <v>170</v>
          </cell>
          <cell r="AP1225">
            <v>1473</v>
          </cell>
        </row>
        <row r="1226">
          <cell r="C1226">
            <v>44412</v>
          </cell>
          <cell r="N1226">
            <v>485</v>
          </cell>
          <cell r="O1226" t="str">
            <v>170</v>
          </cell>
          <cell r="AP1226">
            <v>1083</v>
          </cell>
        </row>
        <row r="1227">
          <cell r="C1227">
            <v>44412</v>
          </cell>
          <cell r="N1227">
            <v>485</v>
          </cell>
          <cell r="O1227" t="str">
            <v>170</v>
          </cell>
          <cell r="AP1227">
            <v>1592</v>
          </cell>
        </row>
        <row r="1228">
          <cell r="C1228">
            <v>44412</v>
          </cell>
          <cell r="N1228">
            <v>485</v>
          </cell>
          <cell r="O1228" t="str">
            <v>170</v>
          </cell>
          <cell r="AP1228">
            <v>1475</v>
          </cell>
        </row>
        <row r="1229">
          <cell r="C1229">
            <v>44412</v>
          </cell>
          <cell r="N1229">
            <v>485</v>
          </cell>
          <cell r="O1229" t="str">
            <v>170</v>
          </cell>
          <cell r="AP1229">
            <v>1087</v>
          </cell>
        </row>
        <row r="1230">
          <cell r="C1230">
            <v>44412</v>
          </cell>
          <cell r="N1230">
            <v>485</v>
          </cell>
          <cell r="O1230" t="str">
            <v>170</v>
          </cell>
          <cell r="AP1230">
            <v>1596</v>
          </cell>
        </row>
        <row r="1231">
          <cell r="C1231">
            <v>44412</v>
          </cell>
          <cell r="N1231">
            <v>485</v>
          </cell>
          <cell r="O1231" t="str">
            <v>170</v>
          </cell>
          <cell r="AP1231">
            <v>1390</v>
          </cell>
        </row>
        <row r="1232">
          <cell r="C1232">
            <v>44412</v>
          </cell>
          <cell r="N1232">
            <v>485</v>
          </cell>
          <cell r="O1232" t="str">
            <v>170</v>
          </cell>
          <cell r="AP1232">
            <v>1348</v>
          </cell>
        </row>
        <row r="1233">
          <cell r="C1233">
            <v>44412</v>
          </cell>
          <cell r="N1233">
            <v>485</v>
          </cell>
          <cell r="O1233" t="str">
            <v>170</v>
          </cell>
          <cell r="AP1233">
            <v>1468</v>
          </cell>
        </row>
        <row r="1234">
          <cell r="C1234">
            <v>44412</v>
          </cell>
          <cell r="N1234">
            <v>485</v>
          </cell>
          <cell r="O1234" t="str">
            <v>170</v>
          </cell>
          <cell r="AP1234">
            <v>1428</v>
          </cell>
        </row>
        <row r="1235">
          <cell r="C1235">
            <v>44412</v>
          </cell>
          <cell r="N1235">
            <v>485</v>
          </cell>
          <cell r="O1235" t="str">
            <v>170</v>
          </cell>
          <cell r="AP1235">
            <v>1381</v>
          </cell>
        </row>
        <row r="1236">
          <cell r="C1236">
            <v>44412</v>
          </cell>
          <cell r="N1236">
            <v>485</v>
          </cell>
          <cell r="O1236" t="str">
            <v>170</v>
          </cell>
          <cell r="AP1236">
            <v>1508</v>
          </cell>
        </row>
        <row r="1237">
          <cell r="C1237">
            <v>44412</v>
          </cell>
          <cell r="N1237">
            <v>485</v>
          </cell>
          <cell r="O1237" t="str">
            <v>170</v>
          </cell>
          <cell r="AP1237">
            <v>1399</v>
          </cell>
        </row>
        <row r="1238">
          <cell r="C1238">
            <v>44412</v>
          </cell>
          <cell r="N1238">
            <v>485</v>
          </cell>
          <cell r="O1238" t="str">
            <v>170</v>
          </cell>
          <cell r="AP1238">
            <v>1356</v>
          </cell>
        </row>
        <row r="1239">
          <cell r="C1239">
            <v>44412</v>
          </cell>
          <cell r="N1239">
            <v>485</v>
          </cell>
          <cell r="O1239" t="str">
            <v>170</v>
          </cell>
          <cell r="AP1239">
            <v>1483</v>
          </cell>
        </row>
        <row r="1240">
          <cell r="C1240">
            <v>44412</v>
          </cell>
          <cell r="N1240">
            <v>485</v>
          </cell>
          <cell r="O1240" t="str">
            <v>170</v>
          </cell>
          <cell r="AP1240">
            <v>1395</v>
          </cell>
        </row>
        <row r="1241">
          <cell r="C1241">
            <v>44412</v>
          </cell>
          <cell r="N1241">
            <v>485</v>
          </cell>
          <cell r="O1241" t="str">
            <v>170</v>
          </cell>
          <cell r="AP1241">
            <v>1353</v>
          </cell>
        </row>
        <row r="1242">
          <cell r="C1242">
            <v>44412</v>
          </cell>
          <cell r="N1242">
            <v>485</v>
          </cell>
          <cell r="O1242" t="str">
            <v>170</v>
          </cell>
          <cell r="AP1242">
            <v>1480</v>
          </cell>
        </row>
        <row r="1243">
          <cell r="C1243">
            <v>44412</v>
          </cell>
          <cell r="N1243">
            <v>485</v>
          </cell>
          <cell r="O1243" t="str">
            <v>170</v>
          </cell>
          <cell r="AP1243">
            <v>1396</v>
          </cell>
        </row>
        <row r="1244">
          <cell r="C1244">
            <v>44412</v>
          </cell>
          <cell r="N1244">
            <v>485</v>
          </cell>
          <cell r="O1244" t="str">
            <v>170</v>
          </cell>
          <cell r="AP1244">
            <v>1356</v>
          </cell>
        </row>
        <row r="1245">
          <cell r="C1245">
            <v>44412</v>
          </cell>
          <cell r="N1245">
            <v>485</v>
          </cell>
          <cell r="O1245" t="str">
            <v>170</v>
          </cell>
          <cell r="AP1245">
            <v>1480</v>
          </cell>
        </row>
        <row r="1246">
          <cell r="C1246">
            <v>44412</v>
          </cell>
          <cell r="N1246">
            <v>485</v>
          </cell>
          <cell r="O1246" t="str">
            <v>170</v>
          </cell>
          <cell r="AP1246">
            <v>1196</v>
          </cell>
        </row>
        <row r="1247">
          <cell r="C1247">
            <v>44412</v>
          </cell>
          <cell r="N1247">
            <v>485</v>
          </cell>
          <cell r="O1247" t="str">
            <v>170</v>
          </cell>
          <cell r="AP1247">
            <v>888</v>
          </cell>
        </row>
        <row r="1248">
          <cell r="C1248">
            <v>44412</v>
          </cell>
          <cell r="N1248">
            <v>485</v>
          </cell>
          <cell r="O1248" t="str">
            <v>170</v>
          </cell>
          <cell r="AP1248">
            <v>796</v>
          </cell>
        </row>
        <row r="1249">
          <cell r="C1249">
            <v>44412</v>
          </cell>
          <cell r="N1249">
            <v>485</v>
          </cell>
          <cell r="O1249" t="str">
            <v>170</v>
          </cell>
          <cell r="AP1249">
            <v>1457</v>
          </cell>
        </row>
        <row r="1250">
          <cell r="C1250">
            <v>44412</v>
          </cell>
          <cell r="N1250">
            <v>485</v>
          </cell>
          <cell r="O1250" t="str">
            <v>170</v>
          </cell>
          <cell r="AP1250">
            <v>1251</v>
          </cell>
        </row>
        <row r="1251">
          <cell r="C1251">
            <v>44412</v>
          </cell>
          <cell r="N1251">
            <v>485</v>
          </cell>
          <cell r="O1251" t="str">
            <v>170</v>
          </cell>
          <cell r="AP1251">
            <v>841</v>
          </cell>
        </row>
        <row r="1252">
          <cell r="C1252">
            <v>44412</v>
          </cell>
          <cell r="N1252">
            <v>485</v>
          </cell>
          <cell r="O1252" t="str">
            <v>170</v>
          </cell>
          <cell r="AP1252">
            <v>832</v>
          </cell>
        </row>
        <row r="1253">
          <cell r="C1253">
            <v>44412</v>
          </cell>
          <cell r="N1253">
            <v>485</v>
          </cell>
          <cell r="O1253" t="str">
            <v>170</v>
          </cell>
          <cell r="AP1253">
            <v>1528</v>
          </cell>
        </row>
        <row r="1254">
          <cell r="C1254">
            <v>44412</v>
          </cell>
          <cell r="N1254">
            <v>485</v>
          </cell>
          <cell r="O1254" t="str">
            <v>170</v>
          </cell>
          <cell r="AP1254">
            <v>1173</v>
          </cell>
        </row>
        <row r="1255">
          <cell r="C1255">
            <v>44412</v>
          </cell>
          <cell r="N1255">
            <v>485</v>
          </cell>
          <cell r="O1255" t="str">
            <v>170</v>
          </cell>
          <cell r="AP1255">
            <v>830</v>
          </cell>
        </row>
        <row r="1256">
          <cell r="C1256">
            <v>44412</v>
          </cell>
          <cell r="N1256">
            <v>485</v>
          </cell>
          <cell r="O1256" t="str">
            <v>170</v>
          </cell>
          <cell r="AP1256">
            <v>785</v>
          </cell>
        </row>
        <row r="1257">
          <cell r="C1257">
            <v>44412</v>
          </cell>
          <cell r="N1257">
            <v>485</v>
          </cell>
          <cell r="O1257" t="str">
            <v>170</v>
          </cell>
          <cell r="AP1257">
            <v>1429</v>
          </cell>
        </row>
        <row r="1258">
          <cell r="C1258">
            <v>44412</v>
          </cell>
          <cell r="N1258">
            <v>485</v>
          </cell>
          <cell r="O1258" t="str">
            <v>170</v>
          </cell>
          <cell r="AP1258">
            <v>1175</v>
          </cell>
        </row>
        <row r="1259">
          <cell r="C1259">
            <v>44412</v>
          </cell>
          <cell r="N1259">
            <v>485</v>
          </cell>
          <cell r="O1259" t="str">
            <v>170</v>
          </cell>
          <cell r="AP1259">
            <v>829</v>
          </cell>
        </row>
        <row r="1260">
          <cell r="C1260">
            <v>44412</v>
          </cell>
          <cell r="N1260">
            <v>485</v>
          </cell>
          <cell r="O1260" t="str">
            <v>170</v>
          </cell>
          <cell r="AP1260">
            <v>786</v>
          </cell>
        </row>
        <row r="1261">
          <cell r="C1261">
            <v>44412</v>
          </cell>
          <cell r="N1261">
            <v>485</v>
          </cell>
          <cell r="O1261" t="str">
            <v>170</v>
          </cell>
          <cell r="AP1261">
            <v>1432</v>
          </cell>
        </row>
        <row r="1262">
          <cell r="C1262">
            <v>44412</v>
          </cell>
          <cell r="N1262">
            <v>485</v>
          </cell>
          <cell r="O1262" t="str">
            <v>170</v>
          </cell>
          <cell r="AP1262">
            <v>1236</v>
          </cell>
        </row>
        <row r="1263">
          <cell r="C1263">
            <v>44412</v>
          </cell>
          <cell r="N1263">
            <v>485</v>
          </cell>
          <cell r="O1263" t="str">
            <v>170</v>
          </cell>
          <cell r="AP1263">
            <v>874</v>
          </cell>
        </row>
        <row r="1264">
          <cell r="C1264">
            <v>44412</v>
          </cell>
          <cell r="N1264">
            <v>485</v>
          </cell>
          <cell r="O1264" t="str">
            <v>170</v>
          </cell>
          <cell r="AP1264">
            <v>827</v>
          </cell>
        </row>
        <row r="1265">
          <cell r="C1265">
            <v>44412</v>
          </cell>
          <cell r="N1265">
            <v>485</v>
          </cell>
          <cell r="O1265" t="str">
            <v>170</v>
          </cell>
          <cell r="AP1265">
            <v>1507</v>
          </cell>
        </row>
        <row r="1266">
          <cell r="C1266">
            <v>44412</v>
          </cell>
          <cell r="N1266">
            <v>485</v>
          </cell>
          <cell r="O1266" t="str">
            <v>170</v>
          </cell>
          <cell r="AP1266">
            <v>1242</v>
          </cell>
        </row>
        <row r="1267">
          <cell r="C1267">
            <v>44412</v>
          </cell>
          <cell r="N1267">
            <v>485</v>
          </cell>
          <cell r="O1267" t="str">
            <v>170</v>
          </cell>
          <cell r="AP1267">
            <v>969</v>
          </cell>
        </row>
        <row r="1268">
          <cell r="C1268">
            <v>44412</v>
          </cell>
          <cell r="N1268">
            <v>485</v>
          </cell>
          <cell r="O1268" t="str">
            <v>170</v>
          </cell>
          <cell r="AP1268">
            <v>1059</v>
          </cell>
        </row>
        <row r="1269">
          <cell r="C1269">
            <v>44412</v>
          </cell>
          <cell r="N1269">
            <v>485</v>
          </cell>
          <cell r="O1269" t="str">
            <v>170</v>
          </cell>
          <cell r="AP1269">
            <v>1192</v>
          </cell>
        </row>
        <row r="1270">
          <cell r="C1270">
            <v>44411</v>
          </cell>
          <cell r="N1270">
            <v>488</v>
          </cell>
          <cell r="O1270">
            <v>235</v>
          </cell>
          <cell r="AP1270">
            <v>1001</v>
          </cell>
        </row>
        <row r="1271">
          <cell r="C1271">
            <v>44411</v>
          </cell>
          <cell r="N1271">
            <v>488</v>
          </cell>
          <cell r="O1271">
            <v>235</v>
          </cell>
          <cell r="AP1271">
            <v>762</v>
          </cell>
        </row>
        <row r="1272">
          <cell r="C1272">
            <v>44411</v>
          </cell>
          <cell r="N1272">
            <v>488</v>
          </cell>
          <cell r="O1272">
            <v>235</v>
          </cell>
          <cell r="AP1272">
            <v>762</v>
          </cell>
        </row>
        <row r="1273">
          <cell r="C1273">
            <v>44411</v>
          </cell>
          <cell r="N1273">
            <v>488</v>
          </cell>
          <cell r="O1273">
            <v>235</v>
          </cell>
          <cell r="AP1273">
            <v>760</v>
          </cell>
        </row>
        <row r="1274">
          <cell r="C1274">
            <v>44411</v>
          </cell>
          <cell r="N1274">
            <v>488</v>
          </cell>
          <cell r="O1274">
            <v>235</v>
          </cell>
          <cell r="AP1274">
            <v>932</v>
          </cell>
        </row>
        <row r="1275">
          <cell r="C1275">
            <v>44411</v>
          </cell>
          <cell r="N1275">
            <v>488</v>
          </cell>
          <cell r="O1275">
            <v>235</v>
          </cell>
          <cell r="AP1275">
            <v>984</v>
          </cell>
        </row>
        <row r="1276">
          <cell r="C1276">
            <v>44411</v>
          </cell>
          <cell r="N1276">
            <v>488</v>
          </cell>
          <cell r="O1276">
            <v>235</v>
          </cell>
          <cell r="AP1276">
            <v>745</v>
          </cell>
        </row>
        <row r="1277">
          <cell r="C1277">
            <v>44411</v>
          </cell>
          <cell r="N1277">
            <v>488</v>
          </cell>
          <cell r="O1277">
            <v>235</v>
          </cell>
          <cell r="AP1277">
            <v>747</v>
          </cell>
        </row>
        <row r="1278">
          <cell r="C1278">
            <v>44411</v>
          </cell>
          <cell r="N1278">
            <v>488</v>
          </cell>
          <cell r="O1278">
            <v>235</v>
          </cell>
          <cell r="AP1278">
            <v>748</v>
          </cell>
        </row>
        <row r="1279">
          <cell r="C1279">
            <v>44411</v>
          </cell>
          <cell r="N1279">
            <v>488</v>
          </cell>
          <cell r="O1279">
            <v>235</v>
          </cell>
          <cell r="AP1279">
            <v>919</v>
          </cell>
        </row>
        <row r="1280">
          <cell r="C1280">
            <v>44411</v>
          </cell>
          <cell r="N1280">
            <v>488</v>
          </cell>
          <cell r="O1280">
            <v>235</v>
          </cell>
          <cell r="AP1280">
            <v>994</v>
          </cell>
        </row>
        <row r="1281">
          <cell r="C1281">
            <v>44411</v>
          </cell>
          <cell r="N1281">
            <v>488</v>
          </cell>
          <cell r="O1281">
            <v>235</v>
          </cell>
          <cell r="AP1281">
            <v>756</v>
          </cell>
        </row>
        <row r="1282">
          <cell r="C1282">
            <v>44411</v>
          </cell>
          <cell r="N1282">
            <v>488</v>
          </cell>
          <cell r="O1282">
            <v>235</v>
          </cell>
          <cell r="AP1282">
            <v>758</v>
          </cell>
        </row>
        <row r="1283">
          <cell r="C1283">
            <v>44411</v>
          </cell>
          <cell r="N1283">
            <v>488</v>
          </cell>
          <cell r="O1283">
            <v>235</v>
          </cell>
          <cell r="AP1283">
            <v>755</v>
          </cell>
        </row>
        <row r="1284">
          <cell r="C1284">
            <v>44411</v>
          </cell>
          <cell r="N1284">
            <v>488</v>
          </cell>
          <cell r="O1284">
            <v>235</v>
          </cell>
          <cell r="AP1284">
            <v>930</v>
          </cell>
        </row>
        <row r="1285">
          <cell r="C1285">
            <v>44411</v>
          </cell>
          <cell r="N1285">
            <v>488</v>
          </cell>
          <cell r="O1285">
            <v>235</v>
          </cell>
          <cell r="AP1285">
            <v>960</v>
          </cell>
        </row>
        <row r="1286">
          <cell r="C1286">
            <v>44411</v>
          </cell>
          <cell r="N1286">
            <v>488</v>
          </cell>
          <cell r="O1286">
            <v>235</v>
          </cell>
          <cell r="AP1286">
            <v>731</v>
          </cell>
        </row>
        <row r="1287">
          <cell r="C1287">
            <v>44411</v>
          </cell>
          <cell r="N1287">
            <v>488</v>
          </cell>
          <cell r="O1287">
            <v>235</v>
          </cell>
          <cell r="AP1287">
            <v>730</v>
          </cell>
        </row>
        <row r="1288">
          <cell r="C1288">
            <v>44411</v>
          </cell>
          <cell r="N1288">
            <v>488</v>
          </cell>
          <cell r="O1288">
            <v>235</v>
          </cell>
          <cell r="AP1288">
            <v>729</v>
          </cell>
        </row>
        <row r="1289">
          <cell r="C1289">
            <v>44411</v>
          </cell>
          <cell r="N1289">
            <v>488</v>
          </cell>
          <cell r="O1289">
            <v>235</v>
          </cell>
          <cell r="AP1289">
            <v>894</v>
          </cell>
        </row>
        <row r="1290">
          <cell r="C1290">
            <v>44411</v>
          </cell>
          <cell r="N1290">
            <v>488</v>
          </cell>
          <cell r="O1290">
            <v>235</v>
          </cell>
          <cell r="AP1290">
            <v>965</v>
          </cell>
        </row>
        <row r="1291">
          <cell r="C1291">
            <v>44411</v>
          </cell>
          <cell r="N1291">
            <v>488</v>
          </cell>
          <cell r="O1291">
            <v>235</v>
          </cell>
          <cell r="AP1291">
            <v>727</v>
          </cell>
        </row>
        <row r="1292">
          <cell r="C1292">
            <v>44411</v>
          </cell>
          <cell r="N1292">
            <v>488</v>
          </cell>
          <cell r="O1292">
            <v>235</v>
          </cell>
          <cell r="AP1292">
            <v>737</v>
          </cell>
        </row>
        <row r="1293">
          <cell r="C1293">
            <v>44411</v>
          </cell>
          <cell r="N1293">
            <v>488</v>
          </cell>
          <cell r="O1293">
            <v>235</v>
          </cell>
          <cell r="AP1293">
            <v>722</v>
          </cell>
        </row>
        <row r="1294">
          <cell r="C1294">
            <v>44411</v>
          </cell>
          <cell r="N1294">
            <v>488</v>
          </cell>
          <cell r="O1294">
            <v>235</v>
          </cell>
          <cell r="AP1294">
            <v>900</v>
          </cell>
        </row>
        <row r="1295">
          <cell r="C1295">
            <v>44411</v>
          </cell>
          <cell r="N1295">
            <v>488</v>
          </cell>
          <cell r="O1295">
            <v>235</v>
          </cell>
          <cell r="AP1295">
            <v>929</v>
          </cell>
        </row>
        <row r="1296">
          <cell r="C1296">
            <v>44411</v>
          </cell>
          <cell r="N1296">
            <v>488</v>
          </cell>
          <cell r="O1296">
            <v>235</v>
          </cell>
          <cell r="AP1296">
            <v>696</v>
          </cell>
        </row>
        <row r="1297">
          <cell r="C1297">
            <v>44411</v>
          </cell>
          <cell r="N1297">
            <v>488</v>
          </cell>
          <cell r="O1297">
            <v>235</v>
          </cell>
          <cell r="AP1297">
            <v>708</v>
          </cell>
        </row>
        <row r="1298">
          <cell r="C1298">
            <v>44411</v>
          </cell>
          <cell r="N1298">
            <v>488</v>
          </cell>
          <cell r="O1298">
            <v>235</v>
          </cell>
          <cell r="AP1298">
            <v>693</v>
          </cell>
        </row>
        <row r="1299">
          <cell r="C1299">
            <v>44412</v>
          </cell>
          <cell r="N1299">
            <v>488</v>
          </cell>
          <cell r="O1299">
            <v>235</v>
          </cell>
          <cell r="AP1299">
            <v>868</v>
          </cell>
        </row>
        <row r="1300">
          <cell r="C1300">
            <v>44412</v>
          </cell>
          <cell r="N1300">
            <v>485</v>
          </cell>
          <cell r="O1300">
            <v>170</v>
          </cell>
          <cell r="AP1300">
            <v>1199</v>
          </cell>
        </row>
        <row r="1301">
          <cell r="C1301">
            <v>44412</v>
          </cell>
          <cell r="N1301">
            <v>485</v>
          </cell>
          <cell r="O1301">
            <v>170</v>
          </cell>
          <cell r="AP1301">
            <v>817</v>
          </cell>
        </row>
        <row r="1302">
          <cell r="C1302">
            <v>44412</v>
          </cell>
          <cell r="N1302">
            <v>485</v>
          </cell>
          <cell r="O1302">
            <v>170</v>
          </cell>
          <cell r="AP1302">
            <v>859</v>
          </cell>
        </row>
        <row r="1303">
          <cell r="C1303">
            <v>44412</v>
          </cell>
          <cell r="N1303">
            <v>485</v>
          </cell>
          <cell r="O1303">
            <v>170</v>
          </cell>
          <cell r="AP1303">
            <v>1276</v>
          </cell>
        </row>
        <row r="1304">
          <cell r="C1304">
            <v>44412</v>
          </cell>
          <cell r="N1304">
            <v>485</v>
          </cell>
          <cell r="O1304">
            <v>170</v>
          </cell>
          <cell r="AP1304">
            <v>1196</v>
          </cell>
        </row>
        <row r="1305">
          <cell r="C1305">
            <v>44412</v>
          </cell>
          <cell r="N1305">
            <v>485</v>
          </cell>
          <cell r="O1305">
            <v>170</v>
          </cell>
          <cell r="AP1305">
            <v>814</v>
          </cell>
        </row>
        <row r="1306">
          <cell r="C1306">
            <v>44412</v>
          </cell>
          <cell r="N1306">
            <v>485</v>
          </cell>
          <cell r="O1306">
            <v>170</v>
          </cell>
          <cell r="AP1306">
            <v>855</v>
          </cell>
        </row>
        <row r="1307">
          <cell r="C1307">
            <v>44412</v>
          </cell>
          <cell r="N1307">
            <v>485</v>
          </cell>
          <cell r="O1307">
            <v>170</v>
          </cell>
          <cell r="AP1307">
            <v>1267</v>
          </cell>
        </row>
        <row r="1308">
          <cell r="C1308">
            <v>44412</v>
          </cell>
          <cell r="N1308">
            <v>485</v>
          </cell>
          <cell r="O1308">
            <v>170</v>
          </cell>
          <cell r="AP1308">
            <v>1186</v>
          </cell>
        </row>
        <row r="1309">
          <cell r="C1309">
            <v>44412</v>
          </cell>
          <cell r="N1309">
            <v>485</v>
          </cell>
          <cell r="O1309">
            <v>170</v>
          </cell>
          <cell r="AP1309">
            <v>810</v>
          </cell>
        </row>
        <row r="1310">
          <cell r="C1310">
            <v>44412</v>
          </cell>
          <cell r="N1310">
            <v>485</v>
          </cell>
          <cell r="O1310">
            <v>170</v>
          </cell>
          <cell r="AP1310">
            <v>853</v>
          </cell>
        </row>
        <row r="1311">
          <cell r="C1311">
            <v>44412</v>
          </cell>
          <cell r="N1311">
            <v>485</v>
          </cell>
          <cell r="O1311">
            <v>170</v>
          </cell>
          <cell r="AP1311">
            <v>1262</v>
          </cell>
        </row>
        <row r="1312">
          <cell r="C1312">
            <v>44412</v>
          </cell>
          <cell r="N1312">
            <v>485</v>
          </cell>
          <cell r="O1312">
            <v>170</v>
          </cell>
          <cell r="AP1312">
            <v>984</v>
          </cell>
        </row>
        <row r="1313">
          <cell r="C1313">
            <v>44412</v>
          </cell>
          <cell r="N1313">
            <v>485</v>
          </cell>
          <cell r="O1313">
            <v>170</v>
          </cell>
          <cell r="AP1313">
            <v>687</v>
          </cell>
        </row>
        <row r="1314">
          <cell r="C1314">
            <v>44412</v>
          </cell>
          <cell r="N1314">
            <v>485</v>
          </cell>
          <cell r="O1314">
            <v>170</v>
          </cell>
          <cell r="AP1314">
            <v>686</v>
          </cell>
        </row>
        <row r="1315">
          <cell r="C1315">
            <v>44412</v>
          </cell>
          <cell r="N1315">
            <v>485</v>
          </cell>
          <cell r="O1315">
            <v>170</v>
          </cell>
          <cell r="AP1315">
            <v>1060</v>
          </cell>
        </row>
        <row r="1316">
          <cell r="C1316">
            <v>44412</v>
          </cell>
          <cell r="N1316">
            <v>483</v>
          </cell>
          <cell r="O1316">
            <v>250</v>
          </cell>
          <cell r="AP1316">
            <v>929</v>
          </cell>
        </row>
        <row r="1317">
          <cell r="C1317">
            <v>44412</v>
          </cell>
          <cell r="N1317">
            <v>483</v>
          </cell>
          <cell r="O1317">
            <v>250</v>
          </cell>
          <cell r="AP1317">
            <v>933</v>
          </cell>
        </row>
        <row r="1318">
          <cell r="C1318">
            <v>44412</v>
          </cell>
          <cell r="N1318">
            <v>483</v>
          </cell>
          <cell r="O1318">
            <v>250</v>
          </cell>
          <cell r="AP1318">
            <v>918</v>
          </cell>
        </row>
        <row r="1319">
          <cell r="C1319">
            <v>44412</v>
          </cell>
          <cell r="N1319">
            <v>483</v>
          </cell>
          <cell r="O1319">
            <v>250</v>
          </cell>
          <cell r="AP1319">
            <v>1309</v>
          </cell>
        </row>
        <row r="1320">
          <cell r="C1320">
            <v>44412</v>
          </cell>
          <cell r="N1320">
            <v>483</v>
          </cell>
          <cell r="O1320">
            <v>250</v>
          </cell>
          <cell r="AP1320">
            <v>911</v>
          </cell>
        </row>
        <row r="1321">
          <cell r="C1321">
            <v>44412</v>
          </cell>
          <cell r="N1321">
            <v>483</v>
          </cell>
          <cell r="O1321">
            <v>250</v>
          </cell>
          <cell r="AP1321">
            <v>916</v>
          </cell>
        </row>
        <row r="1322">
          <cell r="C1322">
            <v>44412</v>
          </cell>
          <cell r="N1322">
            <v>483</v>
          </cell>
          <cell r="O1322">
            <v>250</v>
          </cell>
          <cell r="AP1322">
            <v>900</v>
          </cell>
        </row>
        <row r="1323">
          <cell r="C1323">
            <v>44412</v>
          </cell>
          <cell r="N1323">
            <v>483</v>
          </cell>
          <cell r="O1323">
            <v>250</v>
          </cell>
          <cell r="AP1323">
            <v>1287</v>
          </cell>
        </row>
        <row r="1324">
          <cell r="C1324">
            <v>44412</v>
          </cell>
          <cell r="N1324">
            <v>483</v>
          </cell>
          <cell r="O1324">
            <v>250</v>
          </cell>
          <cell r="AP1324">
            <v>960</v>
          </cell>
        </row>
        <row r="1325">
          <cell r="C1325">
            <v>44412</v>
          </cell>
          <cell r="N1325">
            <v>483</v>
          </cell>
          <cell r="O1325">
            <v>250</v>
          </cell>
          <cell r="AP1325">
            <v>965</v>
          </cell>
        </row>
        <row r="1326">
          <cell r="C1326">
            <v>44412</v>
          </cell>
          <cell r="N1326">
            <v>483</v>
          </cell>
          <cell r="O1326">
            <v>250</v>
          </cell>
          <cell r="AP1326">
            <v>948</v>
          </cell>
        </row>
        <row r="1327">
          <cell r="C1327">
            <v>44412</v>
          </cell>
          <cell r="N1327">
            <v>483</v>
          </cell>
          <cell r="O1327">
            <v>250</v>
          </cell>
          <cell r="AP1327">
            <v>1356</v>
          </cell>
        </row>
        <row r="1328">
          <cell r="C1328">
            <v>44412</v>
          </cell>
          <cell r="N1328">
            <v>483</v>
          </cell>
          <cell r="O1328">
            <v>250</v>
          </cell>
          <cell r="AP1328">
            <v>975</v>
          </cell>
        </row>
        <row r="1329">
          <cell r="C1329">
            <v>44412</v>
          </cell>
          <cell r="N1329">
            <v>483</v>
          </cell>
          <cell r="O1329">
            <v>250</v>
          </cell>
          <cell r="AP1329">
            <v>979</v>
          </cell>
        </row>
        <row r="1330">
          <cell r="C1330">
            <v>44412</v>
          </cell>
          <cell r="N1330">
            <v>483</v>
          </cell>
          <cell r="O1330">
            <v>250</v>
          </cell>
          <cell r="AP1330">
            <v>963</v>
          </cell>
        </row>
        <row r="1331">
          <cell r="C1331">
            <v>44412</v>
          </cell>
          <cell r="N1331">
            <v>483</v>
          </cell>
          <cell r="O1331">
            <v>250</v>
          </cell>
          <cell r="AP1331">
            <v>1376</v>
          </cell>
        </row>
        <row r="1332">
          <cell r="C1332">
            <v>44412</v>
          </cell>
          <cell r="N1332">
            <v>476</v>
          </cell>
          <cell r="O1332">
            <v>250</v>
          </cell>
          <cell r="AP1332">
            <v>1406</v>
          </cell>
        </row>
        <row r="1333">
          <cell r="C1333">
            <v>44412</v>
          </cell>
          <cell r="N1333">
            <v>476</v>
          </cell>
          <cell r="O1333">
            <v>250</v>
          </cell>
          <cell r="AP1333">
            <v>858</v>
          </cell>
        </row>
        <row r="1334">
          <cell r="C1334">
            <v>44412</v>
          </cell>
          <cell r="N1334">
            <v>476</v>
          </cell>
          <cell r="O1334">
            <v>250</v>
          </cell>
          <cell r="AP1334">
            <v>882</v>
          </cell>
        </row>
        <row r="1335">
          <cell r="C1335">
            <v>44412</v>
          </cell>
          <cell r="N1335">
            <v>476</v>
          </cell>
          <cell r="O1335">
            <v>250</v>
          </cell>
          <cell r="AP1335">
            <v>925</v>
          </cell>
        </row>
        <row r="1336">
          <cell r="C1336">
            <v>44412</v>
          </cell>
          <cell r="N1336">
            <v>476</v>
          </cell>
          <cell r="O1336">
            <v>250</v>
          </cell>
          <cell r="AP1336">
            <v>1329</v>
          </cell>
        </row>
        <row r="1337">
          <cell r="C1337">
            <v>44412</v>
          </cell>
          <cell r="N1337">
            <v>476</v>
          </cell>
          <cell r="O1337">
            <v>250</v>
          </cell>
          <cell r="AP1337">
            <v>807</v>
          </cell>
        </row>
        <row r="1338">
          <cell r="C1338">
            <v>44412</v>
          </cell>
          <cell r="N1338">
            <v>476</v>
          </cell>
          <cell r="O1338">
            <v>250</v>
          </cell>
          <cell r="AP1338">
            <v>828</v>
          </cell>
        </row>
        <row r="1339">
          <cell r="C1339">
            <v>44412</v>
          </cell>
          <cell r="N1339">
            <v>476</v>
          </cell>
          <cell r="O1339">
            <v>250</v>
          </cell>
          <cell r="AP1339">
            <v>868</v>
          </cell>
        </row>
        <row r="1340">
          <cell r="C1340">
            <v>44412</v>
          </cell>
          <cell r="N1340">
            <v>476</v>
          </cell>
          <cell r="O1340">
            <v>250</v>
          </cell>
          <cell r="AP1340">
            <v>1377</v>
          </cell>
        </row>
        <row r="1341">
          <cell r="C1341">
            <v>44412</v>
          </cell>
          <cell r="N1341">
            <v>476</v>
          </cell>
          <cell r="O1341">
            <v>250</v>
          </cell>
          <cell r="AP1341">
            <v>836</v>
          </cell>
        </row>
        <row r="1342">
          <cell r="C1342">
            <v>44412</v>
          </cell>
          <cell r="N1342">
            <v>476</v>
          </cell>
          <cell r="O1342">
            <v>250</v>
          </cell>
          <cell r="AP1342">
            <v>862</v>
          </cell>
        </row>
        <row r="1343">
          <cell r="C1343">
            <v>44412</v>
          </cell>
          <cell r="N1343">
            <v>476</v>
          </cell>
          <cell r="O1343">
            <v>250</v>
          </cell>
          <cell r="AP1343">
            <v>901</v>
          </cell>
        </row>
        <row r="1344">
          <cell r="C1344">
            <v>44413</v>
          </cell>
          <cell r="N1344">
            <v>480</v>
          </cell>
          <cell r="O1344">
            <v>180</v>
          </cell>
          <cell r="AP1344">
            <v>1105</v>
          </cell>
        </row>
        <row r="1345">
          <cell r="C1345">
            <v>44413</v>
          </cell>
          <cell r="N1345">
            <v>480</v>
          </cell>
          <cell r="O1345">
            <v>180</v>
          </cell>
          <cell r="AP1345">
            <v>779</v>
          </cell>
        </row>
        <row r="1346">
          <cell r="C1346">
            <v>44413</v>
          </cell>
          <cell r="N1346">
            <v>480</v>
          </cell>
          <cell r="O1346">
            <v>180</v>
          </cell>
          <cell r="AP1346">
            <v>1023</v>
          </cell>
        </row>
        <row r="1347">
          <cell r="C1347">
            <v>44413</v>
          </cell>
          <cell r="N1347">
            <v>480</v>
          </cell>
          <cell r="O1347">
            <v>180</v>
          </cell>
          <cell r="AP1347">
            <v>1020</v>
          </cell>
        </row>
        <row r="1348">
          <cell r="C1348">
            <v>44413</v>
          </cell>
          <cell r="N1348">
            <v>480</v>
          </cell>
          <cell r="O1348">
            <v>180</v>
          </cell>
          <cell r="AP1348">
            <v>1121</v>
          </cell>
        </row>
        <row r="1349">
          <cell r="C1349">
            <v>44413</v>
          </cell>
          <cell r="N1349">
            <v>480</v>
          </cell>
          <cell r="O1349">
            <v>180</v>
          </cell>
          <cell r="AP1349">
            <v>790</v>
          </cell>
        </row>
        <row r="1350">
          <cell r="C1350">
            <v>44413</v>
          </cell>
          <cell r="N1350">
            <v>480</v>
          </cell>
          <cell r="O1350">
            <v>180</v>
          </cell>
          <cell r="AP1350">
            <v>1038</v>
          </cell>
        </row>
        <row r="1351">
          <cell r="C1351">
            <v>44413</v>
          </cell>
          <cell r="N1351">
            <v>480</v>
          </cell>
          <cell r="O1351">
            <v>180</v>
          </cell>
          <cell r="AP1351">
            <v>1034</v>
          </cell>
        </row>
        <row r="1352">
          <cell r="C1352">
            <v>44413</v>
          </cell>
          <cell r="N1352">
            <v>480</v>
          </cell>
          <cell r="O1352">
            <v>180</v>
          </cell>
          <cell r="AP1352">
            <v>1081</v>
          </cell>
        </row>
        <row r="1353">
          <cell r="C1353">
            <v>44413</v>
          </cell>
          <cell r="N1353">
            <v>480</v>
          </cell>
          <cell r="O1353">
            <v>180</v>
          </cell>
          <cell r="AP1353">
            <v>760</v>
          </cell>
        </row>
        <row r="1354">
          <cell r="C1354">
            <v>44413</v>
          </cell>
          <cell r="N1354">
            <v>480</v>
          </cell>
          <cell r="O1354">
            <v>180</v>
          </cell>
          <cell r="AP1354">
            <v>999</v>
          </cell>
        </row>
        <row r="1355">
          <cell r="C1355">
            <v>44413</v>
          </cell>
          <cell r="N1355">
            <v>480</v>
          </cell>
          <cell r="O1355">
            <v>180</v>
          </cell>
          <cell r="AP1355">
            <v>998</v>
          </cell>
        </row>
        <row r="1356">
          <cell r="C1356">
            <v>44413</v>
          </cell>
          <cell r="N1356">
            <v>480</v>
          </cell>
          <cell r="O1356">
            <v>180</v>
          </cell>
          <cell r="AP1356">
            <v>1073</v>
          </cell>
        </row>
        <row r="1357">
          <cell r="C1357">
            <v>44413</v>
          </cell>
          <cell r="N1357">
            <v>480</v>
          </cell>
          <cell r="O1357">
            <v>180</v>
          </cell>
          <cell r="AP1357">
            <v>759</v>
          </cell>
        </row>
        <row r="1358">
          <cell r="C1358">
            <v>44413</v>
          </cell>
          <cell r="N1358">
            <v>480</v>
          </cell>
          <cell r="O1358">
            <v>180</v>
          </cell>
          <cell r="AP1358">
            <v>997</v>
          </cell>
        </row>
        <row r="1359">
          <cell r="C1359">
            <v>44413</v>
          </cell>
          <cell r="N1359">
            <v>480</v>
          </cell>
          <cell r="O1359">
            <v>180</v>
          </cell>
          <cell r="AP1359">
            <v>991</v>
          </cell>
        </row>
        <row r="1360">
          <cell r="C1360">
            <v>44412</v>
          </cell>
          <cell r="N1360">
            <v>480</v>
          </cell>
          <cell r="O1360">
            <v>180</v>
          </cell>
          <cell r="AP1360">
            <v>1105</v>
          </cell>
        </row>
        <row r="1361">
          <cell r="C1361">
            <v>44412</v>
          </cell>
          <cell r="N1361">
            <v>480</v>
          </cell>
          <cell r="O1361">
            <v>180</v>
          </cell>
          <cell r="AP1361">
            <v>781</v>
          </cell>
        </row>
        <row r="1362">
          <cell r="C1362">
            <v>44412</v>
          </cell>
          <cell r="N1362">
            <v>480</v>
          </cell>
          <cell r="O1362">
            <v>180</v>
          </cell>
          <cell r="AP1362">
            <v>1027</v>
          </cell>
        </row>
        <row r="1363">
          <cell r="C1363">
            <v>44412</v>
          </cell>
          <cell r="N1363">
            <v>480</v>
          </cell>
          <cell r="O1363">
            <v>180</v>
          </cell>
          <cell r="AP1363">
            <v>1021</v>
          </cell>
        </row>
        <row r="1364">
          <cell r="C1364">
            <v>44412</v>
          </cell>
          <cell r="N1364">
            <v>480</v>
          </cell>
          <cell r="O1364">
            <v>180</v>
          </cell>
          <cell r="AP1364">
            <v>1124</v>
          </cell>
        </row>
        <row r="1365">
          <cell r="C1365">
            <v>44412</v>
          </cell>
          <cell r="N1365">
            <v>480</v>
          </cell>
          <cell r="O1365">
            <v>180</v>
          </cell>
          <cell r="AP1365">
            <v>795</v>
          </cell>
        </row>
        <row r="1366">
          <cell r="C1366">
            <v>44412</v>
          </cell>
          <cell r="N1366">
            <v>480</v>
          </cell>
          <cell r="O1366">
            <v>180</v>
          </cell>
          <cell r="AP1366">
            <v>1043</v>
          </cell>
        </row>
        <row r="1367">
          <cell r="C1367">
            <v>44412</v>
          </cell>
          <cell r="N1367">
            <v>480</v>
          </cell>
          <cell r="O1367">
            <v>180</v>
          </cell>
          <cell r="AP1367">
            <v>1037</v>
          </cell>
        </row>
        <row r="1368">
          <cell r="C1368">
            <v>44412</v>
          </cell>
          <cell r="N1368">
            <v>480</v>
          </cell>
          <cell r="O1368">
            <v>180</v>
          </cell>
          <cell r="AP1368">
            <v>1098</v>
          </cell>
        </row>
        <row r="1369">
          <cell r="C1369">
            <v>44412</v>
          </cell>
          <cell r="N1369">
            <v>480</v>
          </cell>
          <cell r="O1369">
            <v>180</v>
          </cell>
          <cell r="AP1369">
            <v>777</v>
          </cell>
        </row>
        <row r="1370">
          <cell r="C1370">
            <v>44412</v>
          </cell>
          <cell r="N1370">
            <v>480</v>
          </cell>
          <cell r="O1370">
            <v>180</v>
          </cell>
          <cell r="AP1370">
            <v>1021</v>
          </cell>
        </row>
        <row r="1371">
          <cell r="C1371">
            <v>44412</v>
          </cell>
          <cell r="N1371">
            <v>480</v>
          </cell>
          <cell r="O1371">
            <v>180</v>
          </cell>
          <cell r="AP1371">
            <v>1010</v>
          </cell>
        </row>
        <row r="1372">
          <cell r="C1372">
            <v>44412</v>
          </cell>
          <cell r="N1372">
            <v>480</v>
          </cell>
          <cell r="O1372">
            <v>180</v>
          </cell>
          <cell r="AP1372">
            <v>1068</v>
          </cell>
        </row>
        <row r="1373">
          <cell r="C1373">
            <v>44412</v>
          </cell>
          <cell r="N1373">
            <v>480</v>
          </cell>
          <cell r="O1373">
            <v>180</v>
          </cell>
          <cell r="AP1373">
            <v>755</v>
          </cell>
        </row>
        <row r="1374">
          <cell r="C1374">
            <v>44412</v>
          </cell>
          <cell r="N1374">
            <v>480</v>
          </cell>
          <cell r="O1374">
            <v>180</v>
          </cell>
          <cell r="AP1374">
            <v>992</v>
          </cell>
        </row>
        <row r="1375">
          <cell r="C1375">
            <v>44412</v>
          </cell>
          <cell r="N1375">
            <v>480</v>
          </cell>
          <cell r="O1375">
            <v>180</v>
          </cell>
          <cell r="AP1375">
            <v>984</v>
          </cell>
        </row>
        <row r="1376">
          <cell r="C1376">
            <v>44412</v>
          </cell>
          <cell r="N1376">
            <v>480</v>
          </cell>
          <cell r="O1376">
            <v>180</v>
          </cell>
          <cell r="AP1376">
            <v>1077</v>
          </cell>
        </row>
        <row r="1377">
          <cell r="C1377">
            <v>44412</v>
          </cell>
          <cell r="N1377">
            <v>480</v>
          </cell>
          <cell r="O1377">
            <v>180</v>
          </cell>
          <cell r="AP1377">
            <v>762</v>
          </cell>
        </row>
        <row r="1378">
          <cell r="C1378">
            <v>44412</v>
          </cell>
          <cell r="N1378">
            <v>480</v>
          </cell>
          <cell r="O1378">
            <v>180</v>
          </cell>
          <cell r="AP1378">
            <v>999</v>
          </cell>
        </row>
        <row r="1379">
          <cell r="C1379">
            <v>44412</v>
          </cell>
          <cell r="N1379">
            <v>480</v>
          </cell>
          <cell r="O1379">
            <v>180</v>
          </cell>
          <cell r="AP1379">
            <v>991</v>
          </cell>
        </row>
        <row r="1380">
          <cell r="C1380">
            <v>44412</v>
          </cell>
          <cell r="N1380">
            <v>480</v>
          </cell>
          <cell r="O1380">
            <v>180</v>
          </cell>
          <cell r="AP1380">
            <v>1077</v>
          </cell>
        </row>
        <row r="1381">
          <cell r="C1381">
            <v>44412</v>
          </cell>
          <cell r="N1381">
            <v>480</v>
          </cell>
          <cell r="O1381">
            <v>180</v>
          </cell>
          <cell r="AP1381">
            <v>761</v>
          </cell>
        </row>
        <row r="1382">
          <cell r="C1382">
            <v>44412</v>
          </cell>
          <cell r="N1382">
            <v>480</v>
          </cell>
          <cell r="O1382">
            <v>180</v>
          </cell>
          <cell r="AP1382">
            <v>999</v>
          </cell>
        </row>
        <row r="1383">
          <cell r="C1383">
            <v>44412</v>
          </cell>
          <cell r="N1383">
            <v>480</v>
          </cell>
          <cell r="O1383">
            <v>180</v>
          </cell>
          <cell r="AP1383">
            <v>994</v>
          </cell>
        </row>
        <row r="1384">
          <cell r="C1384">
            <v>44412</v>
          </cell>
          <cell r="N1384">
            <v>485</v>
          </cell>
          <cell r="O1384">
            <v>180</v>
          </cell>
          <cell r="AP1384">
            <v>1077</v>
          </cell>
        </row>
        <row r="1385">
          <cell r="C1385">
            <v>44412</v>
          </cell>
          <cell r="N1385">
            <v>485</v>
          </cell>
          <cell r="O1385">
            <v>180</v>
          </cell>
          <cell r="AP1385">
            <v>801</v>
          </cell>
        </row>
        <row r="1386">
          <cell r="C1386">
            <v>44412</v>
          </cell>
          <cell r="N1386">
            <v>485</v>
          </cell>
          <cell r="O1386">
            <v>180</v>
          </cell>
          <cell r="AP1386">
            <v>1000</v>
          </cell>
        </row>
        <row r="1387">
          <cell r="C1387">
            <v>44412</v>
          </cell>
          <cell r="N1387">
            <v>485</v>
          </cell>
          <cell r="O1387">
            <v>180</v>
          </cell>
          <cell r="AP1387">
            <v>1001</v>
          </cell>
        </row>
        <row r="1388">
          <cell r="C1388">
            <v>44412</v>
          </cell>
          <cell r="N1388">
            <v>485</v>
          </cell>
          <cell r="O1388">
            <v>180</v>
          </cell>
          <cell r="AP1388">
            <v>1132</v>
          </cell>
        </row>
        <row r="1389">
          <cell r="C1389">
            <v>44412</v>
          </cell>
          <cell r="N1389">
            <v>485</v>
          </cell>
          <cell r="O1389">
            <v>180</v>
          </cell>
          <cell r="AP1389">
            <v>841</v>
          </cell>
        </row>
        <row r="1390">
          <cell r="C1390">
            <v>44412</v>
          </cell>
          <cell r="N1390">
            <v>485</v>
          </cell>
          <cell r="O1390">
            <v>180</v>
          </cell>
          <cell r="AP1390">
            <v>1050</v>
          </cell>
        </row>
        <row r="1391">
          <cell r="C1391">
            <v>44412</v>
          </cell>
          <cell r="N1391">
            <v>485</v>
          </cell>
          <cell r="O1391">
            <v>180</v>
          </cell>
          <cell r="AP1391">
            <v>1050</v>
          </cell>
        </row>
        <row r="1392">
          <cell r="C1392">
            <v>44412</v>
          </cell>
          <cell r="N1392">
            <v>485</v>
          </cell>
          <cell r="O1392">
            <v>180</v>
          </cell>
          <cell r="AP1392">
            <v>1086</v>
          </cell>
        </row>
        <row r="1393">
          <cell r="C1393">
            <v>44412</v>
          </cell>
          <cell r="N1393">
            <v>485</v>
          </cell>
          <cell r="O1393">
            <v>180</v>
          </cell>
          <cell r="AP1393">
            <v>803</v>
          </cell>
        </row>
        <row r="1394">
          <cell r="C1394">
            <v>44412</v>
          </cell>
          <cell r="N1394">
            <v>485</v>
          </cell>
          <cell r="O1394">
            <v>180</v>
          </cell>
          <cell r="AP1394">
            <v>1001</v>
          </cell>
        </row>
        <row r="1395">
          <cell r="C1395">
            <v>44412</v>
          </cell>
          <cell r="N1395">
            <v>485</v>
          </cell>
          <cell r="O1395">
            <v>180</v>
          </cell>
          <cell r="AP1395">
            <v>999</v>
          </cell>
        </row>
        <row r="1396">
          <cell r="C1396">
            <v>44412</v>
          </cell>
          <cell r="N1396">
            <v>485</v>
          </cell>
          <cell r="O1396">
            <v>180</v>
          </cell>
          <cell r="AP1396">
            <v>1081</v>
          </cell>
        </row>
        <row r="1397">
          <cell r="C1397">
            <v>44412</v>
          </cell>
          <cell r="N1397">
            <v>485</v>
          </cell>
          <cell r="O1397">
            <v>180</v>
          </cell>
          <cell r="AP1397">
            <v>804</v>
          </cell>
        </row>
        <row r="1398">
          <cell r="C1398">
            <v>44412</v>
          </cell>
          <cell r="N1398">
            <v>485</v>
          </cell>
          <cell r="O1398">
            <v>180</v>
          </cell>
          <cell r="AP1398">
            <v>1003</v>
          </cell>
        </row>
        <row r="1399">
          <cell r="C1399">
            <v>44412</v>
          </cell>
          <cell r="N1399">
            <v>485</v>
          </cell>
          <cell r="O1399">
            <v>180</v>
          </cell>
          <cell r="AP1399">
            <v>998</v>
          </cell>
        </row>
        <row r="1400">
          <cell r="C1400">
            <v>44412</v>
          </cell>
          <cell r="N1400">
            <v>485</v>
          </cell>
          <cell r="O1400">
            <v>180</v>
          </cell>
          <cell r="AP1400">
            <v>1082</v>
          </cell>
        </row>
        <row r="1401">
          <cell r="C1401">
            <v>44412</v>
          </cell>
          <cell r="N1401">
            <v>485</v>
          </cell>
          <cell r="O1401">
            <v>180</v>
          </cell>
          <cell r="AP1401">
            <v>805</v>
          </cell>
        </row>
        <row r="1402">
          <cell r="C1402">
            <v>44412</v>
          </cell>
          <cell r="N1402">
            <v>485</v>
          </cell>
          <cell r="O1402">
            <v>180</v>
          </cell>
          <cell r="AP1402">
            <v>1005</v>
          </cell>
        </row>
        <row r="1403">
          <cell r="C1403">
            <v>44412</v>
          </cell>
          <cell r="N1403">
            <v>485</v>
          </cell>
          <cell r="O1403">
            <v>180</v>
          </cell>
          <cell r="AP1403">
            <v>1000</v>
          </cell>
        </row>
        <row r="1404">
          <cell r="C1404">
            <v>44412</v>
          </cell>
          <cell r="N1404">
            <v>485</v>
          </cell>
          <cell r="O1404">
            <v>180</v>
          </cell>
          <cell r="AP1404">
            <v>1100</v>
          </cell>
        </row>
        <row r="1405">
          <cell r="C1405">
            <v>44412</v>
          </cell>
          <cell r="N1405">
            <v>485</v>
          </cell>
          <cell r="O1405">
            <v>180</v>
          </cell>
          <cell r="AP1405">
            <v>817</v>
          </cell>
        </row>
        <row r="1406">
          <cell r="C1406">
            <v>44412</v>
          </cell>
          <cell r="N1406">
            <v>485</v>
          </cell>
          <cell r="O1406">
            <v>180</v>
          </cell>
          <cell r="AP1406">
            <v>1019</v>
          </cell>
        </row>
        <row r="1407">
          <cell r="C1407">
            <v>44412</v>
          </cell>
          <cell r="N1407">
            <v>485</v>
          </cell>
          <cell r="O1407">
            <v>180</v>
          </cell>
          <cell r="AP1407">
            <v>1012</v>
          </cell>
        </row>
        <row r="1408">
          <cell r="C1408">
            <v>44412</v>
          </cell>
          <cell r="N1408">
            <v>485</v>
          </cell>
          <cell r="O1408">
            <v>180</v>
          </cell>
          <cell r="AP1408">
            <v>1114</v>
          </cell>
        </row>
        <row r="1409">
          <cell r="C1409">
            <v>44412</v>
          </cell>
          <cell r="N1409">
            <v>485</v>
          </cell>
          <cell r="O1409">
            <v>180</v>
          </cell>
          <cell r="AP1409">
            <v>827</v>
          </cell>
        </row>
        <row r="1410">
          <cell r="C1410">
            <v>44412</v>
          </cell>
          <cell r="N1410">
            <v>485</v>
          </cell>
          <cell r="O1410">
            <v>180</v>
          </cell>
          <cell r="AP1410">
            <v>1033</v>
          </cell>
        </row>
        <row r="1411">
          <cell r="C1411">
            <v>44412</v>
          </cell>
          <cell r="N1411">
            <v>485</v>
          </cell>
          <cell r="O1411">
            <v>180</v>
          </cell>
          <cell r="AP1411">
            <v>1026</v>
          </cell>
        </row>
        <row r="1412">
          <cell r="C1412">
            <v>44412</v>
          </cell>
          <cell r="N1412">
            <v>485</v>
          </cell>
          <cell r="O1412">
            <v>180</v>
          </cell>
          <cell r="AP1412">
            <v>1163</v>
          </cell>
        </row>
        <row r="1413">
          <cell r="C1413">
            <v>44412</v>
          </cell>
          <cell r="N1413">
            <v>485</v>
          </cell>
          <cell r="O1413">
            <v>180</v>
          </cell>
          <cell r="AP1413">
            <v>865</v>
          </cell>
        </row>
        <row r="1414">
          <cell r="C1414">
            <v>44412</v>
          </cell>
          <cell r="N1414">
            <v>485</v>
          </cell>
          <cell r="O1414">
            <v>180</v>
          </cell>
          <cell r="AP1414">
            <v>1080</v>
          </cell>
        </row>
        <row r="1415">
          <cell r="C1415">
            <v>44412</v>
          </cell>
          <cell r="N1415">
            <v>485</v>
          </cell>
          <cell r="O1415">
            <v>180</v>
          </cell>
          <cell r="AP1415">
            <v>1072</v>
          </cell>
        </row>
        <row r="1416">
          <cell r="C1416">
            <v>44413</v>
          </cell>
          <cell r="N1416">
            <v>475</v>
          </cell>
          <cell r="O1416">
            <v>180</v>
          </cell>
          <cell r="AP1416">
            <v>1412</v>
          </cell>
        </row>
        <row r="1417">
          <cell r="C1417">
            <v>44413</v>
          </cell>
          <cell r="N1417">
            <v>475</v>
          </cell>
          <cell r="O1417">
            <v>180</v>
          </cell>
          <cell r="AP1417">
            <v>810</v>
          </cell>
        </row>
        <row r="1418">
          <cell r="C1418">
            <v>44413</v>
          </cell>
          <cell r="N1418">
            <v>475</v>
          </cell>
          <cell r="O1418">
            <v>180</v>
          </cell>
          <cell r="AP1418">
            <v>809</v>
          </cell>
        </row>
        <row r="1419">
          <cell r="C1419">
            <v>44413</v>
          </cell>
          <cell r="N1419">
            <v>475</v>
          </cell>
          <cell r="O1419">
            <v>180</v>
          </cell>
          <cell r="AP1419">
            <v>804</v>
          </cell>
        </row>
        <row r="1420">
          <cell r="C1420">
            <v>44413</v>
          </cell>
          <cell r="N1420">
            <v>475</v>
          </cell>
          <cell r="O1420">
            <v>180</v>
          </cell>
          <cell r="AP1420">
            <v>1415</v>
          </cell>
        </row>
        <row r="1421">
          <cell r="C1421">
            <v>44413</v>
          </cell>
          <cell r="N1421">
            <v>475</v>
          </cell>
          <cell r="O1421">
            <v>180</v>
          </cell>
          <cell r="AP1421">
            <v>810</v>
          </cell>
        </row>
        <row r="1422">
          <cell r="C1422">
            <v>44413</v>
          </cell>
          <cell r="N1422">
            <v>475</v>
          </cell>
          <cell r="O1422">
            <v>180</v>
          </cell>
          <cell r="AP1422">
            <v>810</v>
          </cell>
        </row>
        <row r="1423">
          <cell r="C1423">
            <v>44413</v>
          </cell>
          <cell r="N1423">
            <v>475</v>
          </cell>
          <cell r="O1423">
            <v>180</v>
          </cell>
          <cell r="AP1423">
            <v>807</v>
          </cell>
        </row>
        <row r="1424">
          <cell r="C1424">
            <v>44413</v>
          </cell>
          <cell r="N1424">
            <v>475</v>
          </cell>
          <cell r="O1424">
            <v>180</v>
          </cell>
          <cell r="AP1424">
            <v>1415</v>
          </cell>
        </row>
        <row r="1425">
          <cell r="C1425">
            <v>44413</v>
          </cell>
          <cell r="N1425">
            <v>475</v>
          </cell>
          <cell r="O1425">
            <v>180</v>
          </cell>
          <cell r="AP1425">
            <v>812</v>
          </cell>
        </row>
        <row r="1426">
          <cell r="C1426">
            <v>44413</v>
          </cell>
          <cell r="N1426">
            <v>475</v>
          </cell>
          <cell r="O1426">
            <v>180</v>
          </cell>
          <cell r="AP1426">
            <v>810</v>
          </cell>
        </row>
        <row r="1427">
          <cell r="C1427">
            <v>44413</v>
          </cell>
          <cell r="N1427">
            <v>475</v>
          </cell>
          <cell r="O1427">
            <v>180</v>
          </cell>
          <cell r="AP1427">
            <v>808</v>
          </cell>
        </row>
        <row r="1428">
          <cell r="C1428">
            <v>44413</v>
          </cell>
          <cell r="N1428">
            <v>475</v>
          </cell>
          <cell r="O1428">
            <v>180</v>
          </cell>
          <cell r="AP1428">
            <v>1421</v>
          </cell>
        </row>
        <row r="1429">
          <cell r="C1429">
            <v>44413</v>
          </cell>
          <cell r="N1429">
            <v>475</v>
          </cell>
          <cell r="O1429">
            <v>180</v>
          </cell>
          <cell r="AP1429">
            <v>815</v>
          </cell>
        </row>
        <row r="1430">
          <cell r="C1430">
            <v>44413</v>
          </cell>
          <cell r="N1430">
            <v>475</v>
          </cell>
          <cell r="O1430">
            <v>180</v>
          </cell>
          <cell r="AP1430">
            <v>814</v>
          </cell>
        </row>
        <row r="1431">
          <cell r="C1431">
            <v>44413</v>
          </cell>
          <cell r="N1431">
            <v>475</v>
          </cell>
          <cell r="O1431">
            <v>180</v>
          </cell>
          <cell r="AP1431">
            <v>810</v>
          </cell>
        </row>
        <row r="1432">
          <cell r="C1432">
            <v>44413</v>
          </cell>
          <cell r="N1432">
            <v>475</v>
          </cell>
          <cell r="O1432">
            <v>180</v>
          </cell>
          <cell r="AP1432">
            <v>1455</v>
          </cell>
        </row>
        <row r="1433">
          <cell r="C1433">
            <v>44413</v>
          </cell>
          <cell r="N1433">
            <v>475</v>
          </cell>
          <cell r="O1433">
            <v>180</v>
          </cell>
          <cell r="AP1433">
            <v>835</v>
          </cell>
        </row>
        <row r="1434">
          <cell r="C1434">
            <v>44413</v>
          </cell>
          <cell r="N1434">
            <v>475</v>
          </cell>
          <cell r="O1434">
            <v>180</v>
          </cell>
          <cell r="AP1434">
            <v>832</v>
          </cell>
        </row>
        <row r="1435">
          <cell r="C1435">
            <v>44413</v>
          </cell>
          <cell r="N1435">
            <v>475</v>
          </cell>
          <cell r="O1435">
            <v>180</v>
          </cell>
          <cell r="AP1435">
            <v>829</v>
          </cell>
        </row>
        <row r="1436">
          <cell r="C1436">
            <v>44413</v>
          </cell>
          <cell r="N1436">
            <v>475</v>
          </cell>
          <cell r="O1436">
            <v>180</v>
          </cell>
          <cell r="AP1436">
            <v>1524</v>
          </cell>
        </row>
        <row r="1437">
          <cell r="C1437">
            <v>44413</v>
          </cell>
          <cell r="N1437">
            <v>475</v>
          </cell>
          <cell r="O1437">
            <v>180</v>
          </cell>
          <cell r="AP1437">
            <v>874</v>
          </cell>
        </row>
        <row r="1438">
          <cell r="C1438">
            <v>44413</v>
          </cell>
          <cell r="N1438">
            <v>475</v>
          </cell>
          <cell r="O1438">
            <v>180</v>
          </cell>
          <cell r="AP1438">
            <v>881</v>
          </cell>
        </row>
        <row r="1439">
          <cell r="C1439">
            <v>44413</v>
          </cell>
          <cell r="N1439">
            <v>475</v>
          </cell>
          <cell r="O1439">
            <v>180</v>
          </cell>
          <cell r="AP1439">
            <v>868</v>
          </cell>
        </row>
        <row r="1440">
          <cell r="C1440">
            <v>44413</v>
          </cell>
          <cell r="N1440">
            <v>475</v>
          </cell>
          <cell r="O1440">
            <v>180</v>
          </cell>
          <cell r="AP1440">
            <v>1348</v>
          </cell>
        </row>
        <row r="1441">
          <cell r="C1441">
            <v>44413</v>
          </cell>
          <cell r="N1441">
            <v>475</v>
          </cell>
          <cell r="O1441">
            <v>180</v>
          </cell>
          <cell r="AP1441">
            <v>760</v>
          </cell>
        </row>
        <row r="1442">
          <cell r="C1442">
            <v>44413</v>
          </cell>
          <cell r="N1442">
            <v>475</v>
          </cell>
          <cell r="O1442">
            <v>180</v>
          </cell>
          <cell r="AP1442">
            <v>748</v>
          </cell>
        </row>
        <row r="1443">
          <cell r="C1443">
            <v>44413</v>
          </cell>
          <cell r="N1443">
            <v>475</v>
          </cell>
          <cell r="O1443">
            <v>180</v>
          </cell>
          <cell r="AP1443">
            <v>743</v>
          </cell>
        </row>
        <row r="1444">
          <cell r="C1444">
            <v>44413</v>
          </cell>
          <cell r="N1444">
            <v>475</v>
          </cell>
          <cell r="O1444">
            <v>180</v>
          </cell>
          <cell r="AP1444">
            <v>1401</v>
          </cell>
        </row>
        <row r="1445">
          <cell r="C1445">
            <v>44413</v>
          </cell>
          <cell r="N1445">
            <v>475</v>
          </cell>
          <cell r="O1445">
            <v>180</v>
          </cell>
          <cell r="AP1445">
            <v>803</v>
          </cell>
        </row>
        <row r="1446">
          <cell r="C1446">
            <v>44413</v>
          </cell>
          <cell r="N1446">
            <v>475</v>
          </cell>
          <cell r="O1446">
            <v>180</v>
          </cell>
          <cell r="AP1446">
            <v>800</v>
          </cell>
        </row>
        <row r="1447">
          <cell r="C1447">
            <v>44413</v>
          </cell>
          <cell r="N1447">
            <v>475</v>
          </cell>
          <cell r="O1447">
            <v>180</v>
          </cell>
          <cell r="AP1447">
            <v>796</v>
          </cell>
        </row>
        <row r="1448">
          <cell r="C1448">
            <v>44413</v>
          </cell>
          <cell r="N1448">
            <v>475</v>
          </cell>
          <cell r="O1448">
            <v>180</v>
          </cell>
          <cell r="AP1448">
            <v>1446</v>
          </cell>
        </row>
        <row r="1449">
          <cell r="C1449">
            <v>44413</v>
          </cell>
          <cell r="N1449">
            <v>475</v>
          </cell>
          <cell r="O1449">
            <v>180</v>
          </cell>
          <cell r="AP1449">
            <v>829</v>
          </cell>
        </row>
        <row r="1450">
          <cell r="C1450">
            <v>44413</v>
          </cell>
          <cell r="N1450">
            <v>475</v>
          </cell>
          <cell r="O1450">
            <v>180</v>
          </cell>
          <cell r="AP1450">
            <v>828</v>
          </cell>
        </row>
        <row r="1451">
          <cell r="C1451">
            <v>44413</v>
          </cell>
          <cell r="N1451">
            <v>475</v>
          </cell>
          <cell r="O1451">
            <v>180</v>
          </cell>
          <cell r="AP1451">
            <v>824</v>
          </cell>
        </row>
        <row r="1452">
          <cell r="C1452">
            <v>44413</v>
          </cell>
          <cell r="N1452">
            <v>475</v>
          </cell>
          <cell r="O1452">
            <v>180</v>
          </cell>
          <cell r="AP1452">
            <v>1475</v>
          </cell>
        </row>
        <row r="1453">
          <cell r="C1453">
            <v>44413</v>
          </cell>
          <cell r="N1453">
            <v>475</v>
          </cell>
          <cell r="O1453">
            <v>180</v>
          </cell>
          <cell r="AP1453">
            <v>847</v>
          </cell>
        </row>
        <row r="1454">
          <cell r="C1454">
            <v>44413</v>
          </cell>
          <cell r="N1454">
            <v>475</v>
          </cell>
          <cell r="O1454">
            <v>180</v>
          </cell>
          <cell r="AP1454">
            <v>846</v>
          </cell>
        </row>
        <row r="1455">
          <cell r="C1455">
            <v>44413</v>
          </cell>
          <cell r="N1455">
            <v>475</v>
          </cell>
          <cell r="O1455">
            <v>180</v>
          </cell>
          <cell r="AP1455">
            <v>843</v>
          </cell>
        </row>
        <row r="1456">
          <cell r="C1456">
            <v>44413</v>
          </cell>
          <cell r="N1456">
            <v>475</v>
          </cell>
          <cell r="O1456">
            <v>180</v>
          </cell>
          <cell r="AP1456">
            <v>1509</v>
          </cell>
        </row>
        <row r="1457">
          <cell r="C1457">
            <v>44413</v>
          </cell>
          <cell r="N1457">
            <v>475</v>
          </cell>
          <cell r="O1457">
            <v>180</v>
          </cell>
          <cell r="AP1457">
            <v>848</v>
          </cell>
        </row>
        <row r="1458">
          <cell r="C1458">
            <v>44413</v>
          </cell>
          <cell r="N1458">
            <v>475</v>
          </cell>
          <cell r="O1458">
            <v>180</v>
          </cell>
          <cell r="AP1458">
            <v>848</v>
          </cell>
        </row>
        <row r="1459">
          <cell r="C1459">
            <v>44413</v>
          </cell>
          <cell r="N1459">
            <v>475</v>
          </cell>
          <cell r="O1459">
            <v>180</v>
          </cell>
          <cell r="AP1459">
            <v>848</v>
          </cell>
        </row>
        <row r="1460">
          <cell r="C1460">
            <v>44413</v>
          </cell>
          <cell r="N1460">
            <v>475</v>
          </cell>
          <cell r="O1460">
            <v>180</v>
          </cell>
          <cell r="AP1460">
            <v>1456</v>
          </cell>
        </row>
        <row r="1461">
          <cell r="C1461">
            <v>44413</v>
          </cell>
          <cell r="N1461">
            <v>475</v>
          </cell>
          <cell r="O1461">
            <v>180</v>
          </cell>
          <cell r="AP1461">
            <v>837</v>
          </cell>
        </row>
        <row r="1462">
          <cell r="C1462">
            <v>44413</v>
          </cell>
          <cell r="N1462">
            <v>475</v>
          </cell>
          <cell r="O1462">
            <v>180</v>
          </cell>
          <cell r="AP1462">
            <v>835</v>
          </cell>
        </row>
        <row r="1463">
          <cell r="C1463">
            <v>44413</v>
          </cell>
          <cell r="N1463">
            <v>475</v>
          </cell>
          <cell r="O1463">
            <v>180</v>
          </cell>
          <cell r="AP1463">
            <v>832</v>
          </cell>
        </row>
        <row r="1464">
          <cell r="C1464">
            <v>44413</v>
          </cell>
          <cell r="N1464">
            <v>475</v>
          </cell>
          <cell r="O1464">
            <v>180</v>
          </cell>
          <cell r="AP1464">
            <v>1439</v>
          </cell>
        </row>
        <row r="1465">
          <cell r="C1465">
            <v>44413</v>
          </cell>
          <cell r="N1465">
            <v>475</v>
          </cell>
          <cell r="O1465">
            <v>180</v>
          </cell>
          <cell r="AP1465">
            <v>826</v>
          </cell>
        </row>
        <row r="1466">
          <cell r="C1466">
            <v>44413</v>
          </cell>
          <cell r="N1466">
            <v>475</v>
          </cell>
          <cell r="O1466">
            <v>180</v>
          </cell>
          <cell r="AP1466">
            <v>824</v>
          </cell>
        </row>
        <row r="1467">
          <cell r="C1467">
            <v>44413</v>
          </cell>
          <cell r="N1467">
            <v>475</v>
          </cell>
          <cell r="O1467">
            <v>180</v>
          </cell>
          <cell r="AP1467">
            <v>821</v>
          </cell>
        </row>
        <row r="1468">
          <cell r="C1468">
            <v>44413</v>
          </cell>
          <cell r="N1468">
            <v>475</v>
          </cell>
          <cell r="O1468">
            <v>180</v>
          </cell>
          <cell r="AP1468">
            <v>1439</v>
          </cell>
        </row>
        <row r="1469">
          <cell r="C1469">
            <v>44413</v>
          </cell>
          <cell r="N1469">
            <v>475</v>
          </cell>
          <cell r="O1469">
            <v>180</v>
          </cell>
          <cell r="AP1469">
            <v>820</v>
          </cell>
        </row>
        <row r="1470">
          <cell r="C1470">
            <v>44413</v>
          </cell>
          <cell r="N1470">
            <v>475</v>
          </cell>
          <cell r="O1470">
            <v>180</v>
          </cell>
          <cell r="AP1470">
            <v>824</v>
          </cell>
        </row>
        <row r="1471">
          <cell r="C1471">
            <v>44413</v>
          </cell>
          <cell r="N1471">
            <v>475</v>
          </cell>
          <cell r="O1471">
            <v>180</v>
          </cell>
          <cell r="AP1471">
            <v>824</v>
          </cell>
        </row>
        <row r="1472">
          <cell r="C1472">
            <v>44413</v>
          </cell>
          <cell r="N1472">
            <v>475</v>
          </cell>
          <cell r="O1472">
            <v>180</v>
          </cell>
          <cell r="AP1472">
            <v>1477</v>
          </cell>
        </row>
        <row r="1473">
          <cell r="C1473">
            <v>44413</v>
          </cell>
          <cell r="N1473">
            <v>475</v>
          </cell>
          <cell r="O1473">
            <v>180</v>
          </cell>
          <cell r="AP1473">
            <v>846</v>
          </cell>
        </row>
        <row r="1474">
          <cell r="C1474">
            <v>44413</v>
          </cell>
          <cell r="N1474">
            <v>475</v>
          </cell>
          <cell r="O1474">
            <v>180</v>
          </cell>
          <cell r="AP1474">
            <v>845</v>
          </cell>
        </row>
        <row r="1475">
          <cell r="C1475">
            <v>44413</v>
          </cell>
          <cell r="N1475">
            <v>475</v>
          </cell>
          <cell r="O1475">
            <v>180</v>
          </cell>
          <cell r="AP1475">
            <v>843</v>
          </cell>
        </row>
        <row r="1476">
          <cell r="C1476">
            <v>44413</v>
          </cell>
          <cell r="N1476">
            <v>475</v>
          </cell>
          <cell r="O1476">
            <v>180</v>
          </cell>
          <cell r="AP1476">
            <v>1506</v>
          </cell>
        </row>
        <row r="1477">
          <cell r="C1477">
            <v>44413</v>
          </cell>
          <cell r="N1477">
            <v>475</v>
          </cell>
          <cell r="O1477">
            <v>180</v>
          </cell>
          <cell r="AP1477">
            <v>862</v>
          </cell>
        </row>
        <row r="1478">
          <cell r="C1478">
            <v>44413</v>
          </cell>
          <cell r="N1478">
            <v>475</v>
          </cell>
          <cell r="O1478">
            <v>180</v>
          </cell>
          <cell r="AP1478">
            <v>862</v>
          </cell>
        </row>
        <row r="1479">
          <cell r="C1479">
            <v>44413</v>
          </cell>
          <cell r="N1479">
            <v>475</v>
          </cell>
          <cell r="O1479">
            <v>180</v>
          </cell>
          <cell r="AP1479">
            <v>837</v>
          </cell>
        </row>
        <row r="1480">
          <cell r="C1480">
            <v>44413</v>
          </cell>
          <cell r="N1480">
            <v>475</v>
          </cell>
          <cell r="O1480">
            <v>180</v>
          </cell>
          <cell r="AP1480">
            <v>1527</v>
          </cell>
        </row>
        <row r="1481">
          <cell r="C1481">
            <v>44413</v>
          </cell>
          <cell r="N1481">
            <v>475</v>
          </cell>
          <cell r="O1481">
            <v>180</v>
          </cell>
          <cell r="AP1481">
            <v>876</v>
          </cell>
        </row>
        <row r="1482">
          <cell r="C1482">
            <v>44413</v>
          </cell>
          <cell r="N1482">
            <v>475</v>
          </cell>
          <cell r="O1482">
            <v>180</v>
          </cell>
          <cell r="AP1482">
            <v>878</v>
          </cell>
        </row>
        <row r="1483">
          <cell r="C1483">
            <v>44413</v>
          </cell>
          <cell r="N1483">
            <v>475</v>
          </cell>
          <cell r="O1483">
            <v>180</v>
          </cell>
          <cell r="AP1483">
            <v>870</v>
          </cell>
        </row>
        <row r="1484">
          <cell r="C1484">
            <v>44413</v>
          </cell>
          <cell r="N1484">
            <v>475</v>
          </cell>
          <cell r="O1484">
            <v>180</v>
          </cell>
          <cell r="AP1484">
            <v>1452</v>
          </cell>
        </row>
        <row r="1485">
          <cell r="C1485">
            <v>44413</v>
          </cell>
          <cell r="N1485">
            <v>475</v>
          </cell>
          <cell r="O1485">
            <v>180</v>
          </cell>
          <cell r="AP1485">
            <v>835</v>
          </cell>
        </row>
        <row r="1486">
          <cell r="C1486">
            <v>44413</v>
          </cell>
          <cell r="N1486">
            <v>475</v>
          </cell>
          <cell r="O1486">
            <v>180</v>
          </cell>
          <cell r="AP1486">
            <v>835</v>
          </cell>
        </row>
        <row r="1487">
          <cell r="C1487">
            <v>44413</v>
          </cell>
          <cell r="N1487">
            <v>475</v>
          </cell>
          <cell r="O1487">
            <v>180</v>
          </cell>
          <cell r="AP1487">
            <v>825</v>
          </cell>
        </row>
        <row r="1488">
          <cell r="C1488">
            <v>44413</v>
          </cell>
          <cell r="N1488">
            <v>475</v>
          </cell>
          <cell r="O1488">
            <v>180</v>
          </cell>
          <cell r="AP1488">
            <v>1402</v>
          </cell>
        </row>
        <row r="1489">
          <cell r="C1489">
            <v>44413</v>
          </cell>
          <cell r="N1489">
            <v>475</v>
          </cell>
          <cell r="O1489">
            <v>180</v>
          </cell>
          <cell r="AP1489">
            <v>801</v>
          </cell>
        </row>
        <row r="1490">
          <cell r="C1490">
            <v>44413</v>
          </cell>
          <cell r="N1490">
            <v>475</v>
          </cell>
          <cell r="O1490">
            <v>180</v>
          </cell>
          <cell r="AP1490">
            <v>803</v>
          </cell>
        </row>
        <row r="1491">
          <cell r="C1491">
            <v>44413</v>
          </cell>
          <cell r="N1491">
            <v>475</v>
          </cell>
          <cell r="O1491">
            <v>180</v>
          </cell>
          <cell r="AP1491">
            <v>798</v>
          </cell>
        </row>
        <row r="1492">
          <cell r="C1492">
            <v>44413</v>
          </cell>
          <cell r="N1492">
            <v>475</v>
          </cell>
          <cell r="O1492">
            <v>180</v>
          </cell>
          <cell r="AP1492">
            <v>1423</v>
          </cell>
        </row>
        <row r="1493">
          <cell r="C1493">
            <v>44413</v>
          </cell>
          <cell r="N1493">
            <v>475</v>
          </cell>
          <cell r="O1493">
            <v>180</v>
          </cell>
          <cell r="AP1493">
            <v>813</v>
          </cell>
        </row>
        <row r="1494">
          <cell r="C1494">
            <v>44413</v>
          </cell>
          <cell r="N1494">
            <v>475</v>
          </cell>
          <cell r="O1494">
            <v>180</v>
          </cell>
          <cell r="AP1494">
            <v>797</v>
          </cell>
        </row>
        <row r="1495">
          <cell r="C1495">
            <v>44413</v>
          </cell>
          <cell r="N1495">
            <v>475</v>
          </cell>
          <cell r="O1495">
            <v>180</v>
          </cell>
          <cell r="AP1495">
            <v>813</v>
          </cell>
        </row>
        <row r="1496">
          <cell r="C1496">
            <v>44413</v>
          </cell>
          <cell r="N1496">
            <v>475</v>
          </cell>
          <cell r="O1496">
            <v>180</v>
          </cell>
          <cell r="AP1496">
            <v>1420</v>
          </cell>
        </row>
        <row r="1497">
          <cell r="C1497">
            <v>44413</v>
          </cell>
          <cell r="N1497">
            <v>475</v>
          </cell>
          <cell r="O1497">
            <v>180</v>
          </cell>
          <cell r="AP1497">
            <v>806</v>
          </cell>
        </row>
        <row r="1498">
          <cell r="C1498">
            <v>44413</v>
          </cell>
          <cell r="N1498">
            <v>475</v>
          </cell>
          <cell r="O1498">
            <v>180</v>
          </cell>
          <cell r="AP1498">
            <v>785</v>
          </cell>
        </row>
        <row r="1499">
          <cell r="C1499">
            <v>44413</v>
          </cell>
          <cell r="N1499">
            <v>475</v>
          </cell>
          <cell r="O1499">
            <v>180</v>
          </cell>
          <cell r="AP1499">
            <v>807</v>
          </cell>
        </row>
        <row r="1500">
          <cell r="C1500">
            <v>44413</v>
          </cell>
          <cell r="N1500">
            <v>475</v>
          </cell>
          <cell r="O1500">
            <v>180</v>
          </cell>
          <cell r="AP1500">
            <v>1416</v>
          </cell>
        </row>
        <row r="1501">
          <cell r="C1501">
            <v>44413</v>
          </cell>
          <cell r="N1501">
            <v>475</v>
          </cell>
          <cell r="O1501">
            <v>180</v>
          </cell>
          <cell r="AP1501">
            <v>808</v>
          </cell>
        </row>
        <row r="1502">
          <cell r="C1502">
            <v>44413</v>
          </cell>
          <cell r="N1502">
            <v>475</v>
          </cell>
          <cell r="O1502">
            <v>180</v>
          </cell>
          <cell r="AP1502">
            <v>811</v>
          </cell>
        </row>
        <row r="1503">
          <cell r="C1503">
            <v>44413</v>
          </cell>
          <cell r="N1503">
            <v>475</v>
          </cell>
          <cell r="O1503">
            <v>180</v>
          </cell>
          <cell r="AP1503">
            <v>795</v>
          </cell>
        </row>
        <row r="1504">
          <cell r="C1504">
            <v>44413</v>
          </cell>
          <cell r="N1504">
            <v>475</v>
          </cell>
          <cell r="O1504">
            <v>180</v>
          </cell>
          <cell r="AP1504">
            <v>1422</v>
          </cell>
        </row>
        <row r="1505">
          <cell r="C1505">
            <v>44413</v>
          </cell>
          <cell r="N1505">
            <v>475</v>
          </cell>
          <cell r="O1505">
            <v>180</v>
          </cell>
          <cell r="AP1505">
            <v>814</v>
          </cell>
        </row>
        <row r="1506">
          <cell r="C1506">
            <v>44413</v>
          </cell>
          <cell r="N1506">
            <v>475</v>
          </cell>
          <cell r="O1506">
            <v>180</v>
          </cell>
          <cell r="AP1506">
            <v>804</v>
          </cell>
        </row>
        <row r="1507">
          <cell r="C1507">
            <v>44413</v>
          </cell>
          <cell r="N1507">
            <v>475</v>
          </cell>
          <cell r="O1507">
            <v>180</v>
          </cell>
          <cell r="AP1507">
            <v>816</v>
          </cell>
        </row>
        <row r="1508">
          <cell r="C1508">
            <v>44413</v>
          </cell>
          <cell r="N1508">
            <v>475</v>
          </cell>
          <cell r="O1508">
            <v>180</v>
          </cell>
          <cell r="AP1508">
            <v>1439</v>
          </cell>
        </row>
        <row r="1509">
          <cell r="C1509">
            <v>44413</v>
          </cell>
          <cell r="N1509">
            <v>475</v>
          </cell>
          <cell r="O1509">
            <v>180</v>
          </cell>
          <cell r="AP1509">
            <v>824</v>
          </cell>
        </row>
        <row r="1510">
          <cell r="C1510">
            <v>44413</v>
          </cell>
          <cell r="N1510">
            <v>475</v>
          </cell>
          <cell r="O1510">
            <v>180</v>
          </cell>
          <cell r="AP1510">
            <v>826</v>
          </cell>
        </row>
        <row r="1511">
          <cell r="C1511">
            <v>44413</v>
          </cell>
          <cell r="N1511">
            <v>475</v>
          </cell>
          <cell r="O1511">
            <v>180</v>
          </cell>
          <cell r="AP1511">
            <v>814</v>
          </cell>
        </row>
        <row r="1512">
          <cell r="C1512">
            <v>44413</v>
          </cell>
          <cell r="N1512">
            <v>475</v>
          </cell>
          <cell r="O1512">
            <v>180</v>
          </cell>
          <cell r="AP1512">
            <v>1439</v>
          </cell>
        </row>
        <row r="1513">
          <cell r="C1513">
            <v>44413</v>
          </cell>
          <cell r="N1513">
            <v>475</v>
          </cell>
          <cell r="O1513">
            <v>180</v>
          </cell>
          <cell r="AP1513">
            <v>823</v>
          </cell>
        </row>
        <row r="1514">
          <cell r="C1514">
            <v>44413</v>
          </cell>
          <cell r="N1514">
            <v>475</v>
          </cell>
          <cell r="O1514">
            <v>180</v>
          </cell>
          <cell r="AP1514">
            <v>823</v>
          </cell>
        </row>
        <row r="1515">
          <cell r="C1515">
            <v>44413</v>
          </cell>
          <cell r="N1515">
            <v>475</v>
          </cell>
          <cell r="O1515">
            <v>180</v>
          </cell>
          <cell r="AP1515">
            <v>826</v>
          </cell>
        </row>
        <row r="1516">
          <cell r="C1516">
            <v>44413</v>
          </cell>
          <cell r="N1516">
            <v>475</v>
          </cell>
          <cell r="O1516">
            <v>180</v>
          </cell>
          <cell r="AP1516">
            <v>1415</v>
          </cell>
        </row>
        <row r="1517">
          <cell r="C1517">
            <v>44413</v>
          </cell>
          <cell r="N1517">
            <v>475</v>
          </cell>
          <cell r="O1517">
            <v>180</v>
          </cell>
          <cell r="AP1517">
            <v>812</v>
          </cell>
        </row>
        <row r="1518">
          <cell r="C1518">
            <v>44413</v>
          </cell>
          <cell r="N1518">
            <v>475</v>
          </cell>
          <cell r="O1518">
            <v>180</v>
          </cell>
          <cell r="AP1518">
            <v>811</v>
          </cell>
        </row>
        <row r="1519">
          <cell r="C1519">
            <v>44413</v>
          </cell>
          <cell r="N1519">
            <v>475</v>
          </cell>
          <cell r="O1519">
            <v>180</v>
          </cell>
          <cell r="AP1519">
            <v>813</v>
          </cell>
        </row>
        <row r="1520">
          <cell r="C1520">
            <v>44413</v>
          </cell>
          <cell r="N1520">
            <v>475</v>
          </cell>
          <cell r="O1520">
            <v>180</v>
          </cell>
          <cell r="AP1520">
            <v>1455</v>
          </cell>
        </row>
        <row r="1521">
          <cell r="C1521">
            <v>44413</v>
          </cell>
          <cell r="N1521">
            <v>475</v>
          </cell>
          <cell r="O1521">
            <v>180</v>
          </cell>
          <cell r="AP1521">
            <v>833</v>
          </cell>
        </row>
        <row r="1522">
          <cell r="C1522">
            <v>44413</v>
          </cell>
          <cell r="N1522">
            <v>475</v>
          </cell>
          <cell r="O1522">
            <v>180</v>
          </cell>
          <cell r="AP1522">
            <v>836</v>
          </cell>
        </row>
        <row r="1523">
          <cell r="C1523">
            <v>44413</v>
          </cell>
          <cell r="N1523">
            <v>475</v>
          </cell>
          <cell r="O1523">
            <v>180</v>
          </cell>
          <cell r="AP1523">
            <v>828</v>
          </cell>
        </row>
        <row r="1524">
          <cell r="C1524">
            <v>44413</v>
          </cell>
          <cell r="N1524">
            <v>475</v>
          </cell>
          <cell r="O1524">
            <v>180</v>
          </cell>
          <cell r="AP1524">
            <v>1494</v>
          </cell>
        </row>
        <row r="1525">
          <cell r="C1525">
            <v>44413</v>
          </cell>
          <cell r="N1525">
            <v>475</v>
          </cell>
          <cell r="O1525">
            <v>180</v>
          </cell>
          <cell r="AP1525">
            <v>856</v>
          </cell>
        </row>
        <row r="1526">
          <cell r="C1526">
            <v>44413</v>
          </cell>
          <cell r="N1526">
            <v>475</v>
          </cell>
          <cell r="O1526">
            <v>180</v>
          </cell>
          <cell r="AP1526">
            <v>854</v>
          </cell>
        </row>
        <row r="1527">
          <cell r="C1527">
            <v>44413</v>
          </cell>
          <cell r="N1527">
            <v>475</v>
          </cell>
          <cell r="O1527">
            <v>180</v>
          </cell>
          <cell r="AP1527">
            <v>852</v>
          </cell>
        </row>
        <row r="1528">
          <cell r="C1528">
            <v>44413</v>
          </cell>
          <cell r="N1528">
            <v>475</v>
          </cell>
          <cell r="O1528">
            <v>180</v>
          </cell>
          <cell r="AP1528">
            <v>1516</v>
          </cell>
        </row>
        <row r="1529">
          <cell r="C1529">
            <v>44413</v>
          </cell>
          <cell r="N1529">
            <v>475</v>
          </cell>
          <cell r="O1529">
            <v>180</v>
          </cell>
          <cell r="AP1529">
            <v>869</v>
          </cell>
        </row>
        <row r="1530">
          <cell r="C1530">
            <v>44413</v>
          </cell>
          <cell r="N1530">
            <v>475</v>
          </cell>
          <cell r="O1530">
            <v>180</v>
          </cell>
          <cell r="AP1530">
            <v>867</v>
          </cell>
        </row>
        <row r="1531">
          <cell r="C1531">
            <v>44413</v>
          </cell>
          <cell r="N1531">
            <v>475</v>
          </cell>
          <cell r="O1531">
            <v>180</v>
          </cell>
          <cell r="AP1531">
            <v>852</v>
          </cell>
        </row>
        <row r="1532">
          <cell r="C1532">
            <v>44413</v>
          </cell>
          <cell r="N1532">
            <v>475</v>
          </cell>
          <cell r="O1532">
            <v>180</v>
          </cell>
          <cell r="AP1532">
            <v>1507</v>
          </cell>
        </row>
        <row r="1533">
          <cell r="C1533">
            <v>44413</v>
          </cell>
          <cell r="N1533">
            <v>475</v>
          </cell>
          <cell r="O1533">
            <v>180</v>
          </cell>
          <cell r="AP1533">
            <v>864</v>
          </cell>
        </row>
        <row r="1534">
          <cell r="C1534">
            <v>44413</v>
          </cell>
          <cell r="N1534">
            <v>475</v>
          </cell>
          <cell r="O1534">
            <v>180</v>
          </cell>
          <cell r="AP1534">
            <v>857</v>
          </cell>
        </row>
        <row r="1535">
          <cell r="C1535">
            <v>44413</v>
          </cell>
          <cell r="N1535">
            <v>475</v>
          </cell>
          <cell r="O1535">
            <v>180</v>
          </cell>
          <cell r="AP1535">
            <v>859</v>
          </cell>
        </row>
        <row r="1536">
          <cell r="C1536">
            <v>44413</v>
          </cell>
          <cell r="N1536">
            <v>475</v>
          </cell>
          <cell r="O1536">
            <v>180</v>
          </cell>
          <cell r="AP1536">
            <v>1363</v>
          </cell>
        </row>
        <row r="1537">
          <cell r="C1537">
            <v>44413</v>
          </cell>
          <cell r="N1537">
            <v>475</v>
          </cell>
          <cell r="O1537">
            <v>180</v>
          </cell>
          <cell r="AP1537">
            <v>1368</v>
          </cell>
        </row>
        <row r="1538">
          <cell r="C1538">
            <v>44413</v>
          </cell>
          <cell r="N1538">
            <v>475</v>
          </cell>
          <cell r="O1538">
            <v>180</v>
          </cell>
          <cell r="AP1538">
            <v>1318</v>
          </cell>
        </row>
        <row r="1539">
          <cell r="C1539">
            <v>44412</v>
          </cell>
          <cell r="N1539">
            <v>475</v>
          </cell>
          <cell r="O1539">
            <v>180</v>
          </cell>
          <cell r="AP1539">
            <v>1318</v>
          </cell>
        </row>
        <row r="1540">
          <cell r="C1540">
            <v>44412</v>
          </cell>
          <cell r="N1540">
            <v>475</v>
          </cell>
          <cell r="O1540">
            <v>180</v>
          </cell>
          <cell r="AP1540">
            <v>1318</v>
          </cell>
        </row>
        <row r="1541">
          <cell r="C1541">
            <v>44412</v>
          </cell>
          <cell r="N1541">
            <v>475</v>
          </cell>
          <cell r="O1541">
            <v>180</v>
          </cell>
          <cell r="AP1541">
            <v>1260</v>
          </cell>
        </row>
        <row r="1542">
          <cell r="C1542">
            <v>44412</v>
          </cell>
          <cell r="N1542">
            <v>475</v>
          </cell>
          <cell r="O1542">
            <v>180</v>
          </cell>
          <cell r="AP1542">
            <v>1321</v>
          </cell>
        </row>
        <row r="1543">
          <cell r="C1543">
            <v>44412</v>
          </cell>
          <cell r="N1543">
            <v>475</v>
          </cell>
          <cell r="O1543">
            <v>180</v>
          </cell>
          <cell r="AP1543">
            <v>1325</v>
          </cell>
        </row>
        <row r="1544">
          <cell r="C1544">
            <v>44412</v>
          </cell>
          <cell r="N1544">
            <v>475</v>
          </cell>
          <cell r="O1544">
            <v>180</v>
          </cell>
          <cell r="AP1544">
            <v>1274</v>
          </cell>
        </row>
        <row r="1545">
          <cell r="C1545">
            <v>44412</v>
          </cell>
          <cell r="N1545">
            <v>475</v>
          </cell>
          <cell r="O1545">
            <v>180</v>
          </cell>
          <cell r="AP1545">
            <v>1255</v>
          </cell>
        </row>
        <row r="1546">
          <cell r="C1546">
            <v>44412</v>
          </cell>
          <cell r="N1546">
            <v>475</v>
          </cell>
          <cell r="O1546">
            <v>180</v>
          </cell>
          <cell r="AP1546">
            <v>1255</v>
          </cell>
        </row>
        <row r="1547">
          <cell r="C1547">
            <v>44412</v>
          </cell>
          <cell r="N1547">
            <v>475</v>
          </cell>
          <cell r="O1547">
            <v>180</v>
          </cell>
          <cell r="AP1547">
            <v>1207</v>
          </cell>
        </row>
        <row r="1548">
          <cell r="C1548">
            <v>44412</v>
          </cell>
          <cell r="N1548">
            <v>485</v>
          </cell>
          <cell r="O1548">
            <v>180</v>
          </cell>
          <cell r="AP1548">
            <v>1073</v>
          </cell>
        </row>
        <row r="1549">
          <cell r="C1549">
            <v>44412</v>
          </cell>
          <cell r="N1549">
            <v>485</v>
          </cell>
          <cell r="O1549">
            <v>180</v>
          </cell>
          <cell r="AP1549">
            <v>798</v>
          </cell>
        </row>
        <row r="1550">
          <cell r="C1550">
            <v>44412</v>
          </cell>
          <cell r="N1550">
            <v>485</v>
          </cell>
          <cell r="O1550">
            <v>180</v>
          </cell>
          <cell r="AP1550">
            <v>989</v>
          </cell>
        </row>
        <row r="1551">
          <cell r="C1551">
            <v>44412</v>
          </cell>
          <cell r="N1551">
            <v>485</v>
          </cell>
          <cell r="O1551">
            <v>180</v>
          </cell>
          <cell r="AP1551">
            <v>995</v>
          </cell>
        </row>
        <row r="1552">
          <cell r="C1552">
            <v>44412</v>
          </cell>
          <cell r="N1552">
            <v>485</v>
          </cell>
          <cell r="O1552">
            <v>180</v>
          </cell>
          <cell r="AP1552">
            <v>1077</v>
          </cell>
        </row>
        <row r="1553">
          <cell r="C1553">
            <v>44412</v>
          </cell>
          <cell r="N1553">
            <v>485</v>
          </cell>
          <cell r="O1553">
            <v>180</v>
          </cell>
          <cell r="AP1553">
            <v>800</v>
          </cell>
        </row>
        <row r="1554">
          <cell r="C1554">
            <v>44412</v>
          </cell>
          <cell r="N1554">
            <v>485</v>
          </cell>
          <cell r="O1554">
            <v>180</v>
          </cell>
          <cell r="AP1554">
            <v>997</v>
          </cell>
        </row>
        <row r="1555">
          <cell r="C1555">
            <v>44412</v>
          </cell>
          <cell r="N1555">
            <v>485</v>
          </cell>
          <cell r="O1555">
            <v>180</v>
          </cell>
          <cell r="AP1555">
            <v>994</v>
          </cell>
        </row>
        <row r="1556">
          <cell r="C1556">
            <v>44412</v>
          </cell>
          <cell r="N1556">
            <v>475</v>
          </cell>
          <cell r="O1556">
            <v>150</v>
          </cell>
          <cell r="AP1556">
            <v>1317</v>
          </cell>
        </row>
        <row r="1557">
          <cell r="C1557">
            <v>44412</v>
          </cell>
          <cell r="N1557">
            <v>475</v>
          </cell>
          <cell r="O1557">
            <v>150</v>
          </cell>
          <cell r="AP1557">
            <v>982</v>
          </cell>
        </row>
        <row r="1558">
          <cell r="C1558">
            <v>44412</v>
          </cell>
          <cell r="N1558">
            <v>475</v>
          </cell>
          <cell r="O1558">
            <v>150</v>
          </cell>
          <cell r="AP1558">
            <v>1730</v>
          </cell>
        </row>
        <row r="1559">
          <cell r="C1559">
            <v>44413</v>
          </cell>
          <cell r="N1559">
            <v>475</v>
          </cell>
          <cell r="O1559">
            <v>150</v>
          </cell>
          <cell r="AP1559">
            <v>1333</v>
          </cell>
        </row>
        <row r="1560">
          <cell r="C1560">
            <v>44413</v>
          </cell>
          <cell r="N1560">
            <v>475</v>
          </cell>
          <cell r="O1560">
            <v>150</v>
          </cell>
          <cell r="AP1560">
            <v>999</v>
          </cell>
        </row>
        <row r="1561">
          <cell r="C1561">
            <v>44413</v>
          </cell>
          <cell r="N1561">
            <v>475</v>
          </cell>
          <cell r="O1561">
            <v>150</v>
          </cell>
          <cell r="AP1561">
            <v>1752</v>
          </cell>
        </row>
        <row r="1562">
          <cell r="C1562">
            <v>44413</v>
          </cell>
          <cell r="N1562">
            <v>475</v>
          </cell>
          <cell r="O1562">
            <v>150</v>
          </cell>
          <cell r="AP1562">
            <v>1297</v>
          </cell>
        </row>
        <row r="1563">
          <cell r="C1563">
            <v>44413</v>
          </cell>
          <cell r="N1563">
            <v>475</v>
          </cell>
          <cell r="O1563">
            <v>150</v>
          </cell>
          <cell r="AP1563">
            <v>966</v>
          </cell>
        </row>
        <row r="1564">
          <cell r="C1564">
            <v>44413</v>
          </cell>
          <cell r="N1564">
            <v>475</v>
          </cell>
          <cell r="O1564">
            <v>150</v>
          </cell>
          <cell r="AP1564">
            <v>1704</v>
          </cell>
        </row>
        <row r="1565">
          <cell r="C1565">
            <v>44413</v>
          </cell>
          <cell r="N1565">
            <v>475</v>
          </cell>
          <cell r="O1565">
            <v>150</v>
          </cell>
          <cell r="AP1565">
            <v>1341</v>
          </cell>
        </row>
        <row r="1566">
          <cell r="C1566">
            <v>44413</v>
          </cell>
          <cell r="N1566">
            <v>475</v>
          </cell>
          <cell r="O1566">
            <v>150</v>
          </cell>
          <cell r="AP1566">
            <v>1048</v>
          </cell>
        </row>
        <row r="1567">
          <cell r="C1567">
            <v>44413</v>
          </cell>
          <cell r="N1567">
            <v>475</v>
          </cell>
          <cell r="O1567">
            <v>150</v>
          </cell>
          <cell r="AP1567">
            <v>1582</v>
          </cell>
        </row>
        <row r="1568">
          <cell r="C1568">
            <v>44413</v>
          </cell>
          <cell r="N1568">
            <v>475</v>
          </cell>
          <cell r="O1568">
            <v>150</v>
          </cell>
          <cell r="AP1568">
            <v>1338</v>
          </cell>
        </row>
        <row r="1569">
          <cell r="C1569">
            <v>44413</v>
          </cell>
          <cell r="N1569">
            <v>475</v>
          </cell>
          <cell r="O1569">
            <v>150</v>
          </cell>
          <cell r="AP1569">
            <v>1049</v>
          </cell>
        </row>
        <row r="1570">
          <cell r="C1570">
            <v>44413</v>
          </cell>
          <cell r="N1570">
            <v>475</v>
          </cell>
          <cell r="O1570">
            <v>150</v>
          </cell>
          <cell r="AP1570">
            <v>1580</v>
          </cell>
        </row>
        <row r="1571">
          <cell r="C1571">
            <v>44413</v>
          </cell>
          <cell r="N1571">
            <v>475</v>
          </cell>
          <cell r="O1571">
            <v>150</v>
          </cell>
          <cell r="AP1571">
            <v>1395</v>
          </cell>
        </row>
        <row r="1572">
          <cell r="C1572">
            <v>44413</v>
          </cell>
          <cell r="N1572">
            <v>475</v>
          </cell>
          <cell r="O1572">
            <v>150</v>
          </cell>
          <cell r="AP1572">
            <v>1093</v>
          </cell>
        </row>
        <row r="1573">
          <cell r="C1573">
            <v>44413</v>
          </cell>
          <cell r="N1573">
            <v>475</v>
          </cell>
          <cell r="O1573">
            <v>150</v>
          </cell>
          <cell r="AP1573">
            <v>1646</v>
          </cell>
        </row>
        <row r="1574">
          <cell r="C1574">
            <v>44413</v>
          </cell>
          <cell r="N1574">
            <v>475</v>
          </cell>
          <cell r="O1574">
            <v>150</v>
          </cell>
          <cell r="AP1574">
            <v>1269</v>
          </cell>
        </row>
        <row r="1575">
          <cell r="C1575">
            <v>44413</v>
          </cell>
          <cell r="N1575">
            <v>475</v>
          </cell>
          <cell r="O1575">
            <v>150</v>
          </cell>
          <cell r="AP1575">
            <v>1144</v>
          </cell>
        </row>
        <row r="1576">
          <cell r="C1576">
            <v>44413</v>
          </cell>
          <cell r="N1576">
            <v>475</v>
          </cell>
          <cell r="O1576">
            <v>150</v>
          </cell>
          <cell r="AP1576">
            <v>1597</v>
          </cell>
        </row>
        <row r="1577">
          <cell r="C1577">
            <v>44413</v>
          </cell>
          <cell r="N1577">
            <v>475</v>
          </cell>
          <cell r="O1577">
            <v>150</v>
          </cell>
          <cell r="AP1577">
            <v>1305</v>
          </cell>
        </row>
        <row r="1578">
          <cell r="C1578">
            <v>44413</v>
          </cell>
          <cell r="N1578">
            <v>475</v>
          </cell>
          <cell r="O1578">
            <v>150</v>
          </cell>
          <cell r="AP1578">
            <v>1176</v>
          </cell>
        </row>
        <row r="1579">
          <cell r="C1579">
            <v>44413</v>
          </cell>
          <cell r="N1579">
            <v>475</v>
          </cell>
          <cell r="O1579">
            <v>150</v>
          </cell>
          <cell r="AP1579">
            <v>1598</v>
          </cell>
        </row>
        <row r="1580">
          <cell r="C1580">
            <v>44413</v>
          </cell>
          <cell r="N1580">
            <v>475</v>
          </cell>
          <cell r="O1580">
            <v>150</v>
          </cell>
          <cell r="AP1580">
            <v>1255</v>
          </cell>
        </row>
        <row r="1581">
          <cell r="C1581">
            <v>44413</v>
          </cell>
          <cell r="N1581">
            <v>475</v>
          </cell>
          <cell r="O1581">
            <v>150</v>
          </cell>
          <cell r="AP1581">
            <v>1131</v>
          </cell>
        </row>
        <row r="1582">
          <cell r="C1582">
            <v>44413</v>
          </cell>
          <cell r="N1582">
            <v>475</v>
          </cell>
          <cell r="O1582">
            <v>150</v>
          </cell>
          <cell r="AP1582">
            <v>1580</v>
          </cell>
        </row>
        <row r="1583">
          <cell r="C1583">
            <v>44413</v>
          </cell>
          <cell r="N1583">
            <v>475</v>
          </cell>
          <cell r="O1583">
            <v>150</v>
          </cell>
          <cell r="AP1583">
            <v>1245</v>
          </cell>
        </row>
        <row r="1584">
          <cell r="C1584">
            <v>44413</v>
          </cell>
          <cell r="N1584">
            <v>475</v>
          </cell>
          <cell r="O1584">
            <v>150</v>
          </cell>
          <cell r="AP1584">
            <v>1122</v>
          </cell>
        </row>
        <row r="1585">
          <cell r="C1585">
            <v>44413</v>
          </cell>
          <cell r="N1585">
            <v>475</v>
          </cell>
          <cell r="O1585">
            <v>150</v>
          </cell>
          <cell r="AP1585">
            <v>1565</v>
          </cell>
        </row>
        <row r="1586">
          <cell r="C1586">
            <v>44413</v>
          </cell>
          <cell r="N1586">
            <v>475</v>
          </cell>
          <cell r="O1586">
            <v>150</v>
          </cell>
          <cell r="AP1586">
            <v>1248</v>
          </cell>
        </row>
        <row r="1587">
          <cell r="C1587">
            <v>44413</v>
          </cell>
          <cell r="N1587">
            <v>475</v>
          </cell>
          <cell r="O1587">
            <v>150</v>
          </cell>
          <cell r="AP1587">
            <v>1126</v>
          </cell>
        </row>
        <row r="1588">
          <cell r="C1588">
            <v>44413</v>
          </cell>
          <cell r="N1588">
            <v>475</v>
          </cell>
          <cell r="O1588">
            <v>150</v>
          </cell>
          <cell r="AP1588">
            <v>1572</v>
          </cell>
        </row>
        <row r="1589">
          <cell r="C1589">
            <v>44413</v>
          </cell>
          <cell r="N1589">
            <v>475</v>
          </cell>
          <cell r="O1589">
            <v>150</v>
          </cell>
          <cell r="AP1589">
            <v>1168</v>
          </cell>
        </row>
        <row r="1590">
          <cell r="C1590">
            <v>44413</v>
          </cell>
          <cell r="N1590">
            <v>475</v>
          </cell>
          <cell r="O1590">
            <v>150</v>
          </cell>
          <cell r="AP1590">
            <v>1504</v>
          </cell>
        </row>
        <row r="1591">
          <cell r="C1591">
            <v>44413</v>
          </cell>
          <cell r="N1591">
            <v>475</v>
          </cell>
          <cell r="O1591">
            <v>150</v>
          </cell>
          <cell r="AP1591">
            <v>1285</v>
          </cell>
        </row>
        <row r="1592">
          <cell r="C1592">
            <v>44413</v>
          </cell>
          <cell r="N1592">
            <v>475</v>
          </cell>
          <cell r="O1592">
            <v>150</v>
          </cell>
          <cell r="AP1592">
            <v>1171</v>
          </cell>
        </row>
        <row r="1593">
          <cell r="C1593">
            <v>44413</v>
          </cell>
          <cell r="N1593">
            <v>475</v>
          </cell>
          <cell r="O1593">
            <v>150</v>
          </cell>
          <cell r="AP1593">
            <v>1507</v>
          </cell>
        </row>
        <row r="1594">
          <cell r="C1594">
            <v>44413</v>
          </cell>
          <cell r="N1594">
            <v>475</v>
          </cell>
          <cell r="O1594">
            <v>150</v>
          </cell>
          <cell r="AP1594">
            <v>1290</v>
          </cell>
        </row>
        <row r="1595">
          <cell r="C1595">
            <v>44413</v>
          </cell>
          <cell r="N1595">
            <v>475</v>
          </cell>
          <cell r="O1595">
            <v>150</v>
          </cell>
          <cell r="AP1595">
            <v>1182</v>
          </cell>
        </row>
        <row r="1596">
          <cell r="C1596">
            <v>44413</v>
          </cell>
          <cell r="N1596">
            <v>475</v>
          </cell>
          <cell r="O1596">
            <v>150</v>
          </cell>
          <cell r="AP1596">
            <v>1523</v>
          </cell>
        </row>
        <row r="1597">
          <cell r="C1597">
            <v>44413</v>
          </cell>
          <cell r="N1597">
            <v>475</v>
          </cell>
          <cell r="O1597">
            <v>150</v>
          </cell>
          <cell r="AP1597">
            <v>1306</v>
          </cell>
        </row>
        <row r="1598">
          <cell r="C1598">
            <v>44413</v>
          </cell>
          <cell r="N1598">
            <v>475</v>
          </cell>
          <cell r="O1598">
            <v>150</v>
          </cell>
          <cell r="AP1598">
            <v>1172</v>
          </cell>
        </row>
        <row r="1599">
          <cell r="C1599">
            <v>44413</v>
          </cell>
          <cell r="N1599">
            <v>475</v>
          </cell>
          <cell r="O1599">
            <v>150</v>
          </cell>
          <cell r="AP1599">
            <v>1511</v>
          </cell>
        </row>
        <row r="1600">
          <cell r="C1600">
            <v>44413</v>
          </cell>
          <cell r="N1600">
            <v>475</v>
          </cell>
          <cell r="O1600">
            <v>150</v>
          </cell>
          <cell r="AP1600">
            <v>1296</v>
          </cell>
        </row>
        <row r="1601">
          <cell r="C1601">
            <v>44413</v>
          </cell>
          <cell r="N1601">
            <v>475</v>
          </cell>
          <cell r="O1601">
            <v>150</v>
          </cell>
          <cell r="AP1601">
            <v>1156</v>
          </cell>
        </row>
        <row r="1602">
          <cell r="C1602">
            <v>44413</v>
          </cell>
          <cell r="N1602">
            <v>475</v>
          </cell>
          <cell r="O1602">
            <v>150</v>
          </cell>
          <cell r="AP1602">
            <v>1488</v>
          </cell>
        </row>
        <row r="1603">
          <cell r="C1603">
            <v>44413</v>
          </cell>
          <cell r="N1603">
            <v>475</v>
          </cell>
          <cell r="O1603">
            <v>150</v>
          </cell>
          <cell r="AP1603">
            <v>1275</v>
          </cell>
        </row>
        <row r="1604">
          <cell r="C1604">
            <v>44413</v>
          </cell>
          <cell r="N1604">
            <v>475</v>
          </cell>
          <cell r="O1604">
            <v>150</v>
          </cell>
          <cell r="AP1604">
            <v>1155</v>
          </cell>
        </row>
        <row r="1605">
          <cell r="C1605">
            <v>44413</v>
          </cell>
          <cell r="N1605">
            <v>475</v>
          </cell>
          <cell r="O1605">
            <v>150</v>
          </cell>
          <cell r="AP1605">
            <v>1366</v>
          </cell>
        </row>
        <row r="1606">
          <cell r="C1606">
            <v>44413</v>
          </cell>
          <cell r="N1606">
            <v>475</v>
          </cell>
          <cell r="O1606">
            <v>150</v>
          </cell>
          <cell r="AP1606">
            <v>1380</v>
          </cell>
        </row>
        <row r="1607">
          <cell r="C1607">
            <v>44413</v>
          </cell>
          <cell r="N1607">
            <v>475</v>
          </cell>
          <cell r="O1607">
            <v>150</v>
          </cell>
          <cell r="AP1607">
            <v>1137</v>
          </cell>
        </row>
        <row r="1608">
          <cell r="C1608">
            <v>44413</v>
          </cell>
          <cell r="N1608">
            <v>475</v>
          </cell>
          <cell r="O1608">
            <v>150</v>
          </cell>
          <cell r="AP1608">
            <v>1342</v>
          </cell>
        </row>
        <row r="1609">
          <cell r="C1609">
            <v>44413</v>
          </cell>
          <cell r="N1609">
            <v>475</v>
          </cell>
          <cell r="O1609">
            <v>150</v>
          </cell>
          <cell r="AP1609">
            <v>1374</v>
          </cell>
        </row>
        <row r="1610">
          <cell r="C1610">
            <v>44413</v>
          </cell>
          <cell r="N1610">
            <v>475</v>
          </cell>
          <cell r="O1610">
            <v>150</v>
          </cell>
          <cell r="AP1610">
            <v>1233</v>
          </cell>
        </row>
        <row r="1611">
          <cell r="C1611">
            <v>44413</v>
          </cell>
          <cell r="N1611">
            <v>475</v>
          </cell>
          <cell r="O1611">
            <v>150</v>
          </cell>
          <cell r="AP1611">
            <v>1443</v>
          </cell>
        </row>
        <row r="1612">
          <cell r="C1612">
            <v>44413</v>
          </cell>
          <cell r="N1612">
            <v>475</v>
          </cell>
          <cell r="O1612">
            <v>150</v>
          </cell>
          <cell r="AP1612">
            <v>1487</v>
          </cell>
        </row>
        <row r="1613">
          <cell r="C1613">
            <v>44413</v>
          </cell>
          <cell r="N1613">
            <v>475</v>
          </cell>
          <cell r="O1613">
            <v>150</v>
          </cell>
          <cell r="AP1613">
            <v>1163</v>
          </cell>
        </row>
        <row r="1614">
          <cell r="C1614">
            <v>44413</v>
          </cell>
          <cell r="N1614">
            <v>475</v>
          </cell>
          <cell r="O1614">
            <v>150</v>
          </cell>
          <cell r="AP1614">
            <v>1375</v>
          </cell>
        </row>
        <row r="1615">
          <cell r="C1615">
            <v>44413</v>
          </cell>
          <cell r="N1615">
            <v>475</v>
          </cell>
          <cell r="O1615">
            <v>150</v>
          </cell>
          <cell r="AP1615">
            <v>1406</v>
          </cell>
        </row>
        <row r="1616">
          <cell r="C1616">
            <v>44413</v>
          </cell>
          <cell r="N1616">
            <v>475</v>
          </cell>
          <cell r="O1616">
            <v>150</v>
          </cell>
          <cell r="AP1616">
            <v>1166</v>
          </cell>
        </row>
        <row r="1617">
          <cell r="C1617">
            <v>44413</v>
          </cell>
          <cell r="N1617">
            <v>475</v>
          </cell>
          <cell r="O1617">
            <v>150</v>
          </cell>
          <cell r="AP1617">
            <v>1378</v>
          </cell>
        </row>
        <row r="1618">
          <cell r="C1618">
            <v>44413</v>
          </cell>
          <cell r="N1618">
            <v>475</v>
          </cell>
          <cell r="O1618">
            <v>150</v>
          </cell>
          <cell r="AP1618">
            <v>1410</v>
          </cell>
        </row>
        <row r="1619">
          <cell r="C1619">
            <v>44413</v>
          </cell>
          <cell r="N1619">
            <v>475</v>
          </cell>
          <cell r="O1619">
            <v>150</v>
          </cell>
          <cell r="AP1619">
            <v>1480</v>
          </cell>
        </row>
        <row r="1620">
          <cell r="C1620">
            <v>44413</v>
          </cell>
          <cell r="N1620">
            <v>475</v>
          </cell>
          <cell r="O1620">
            <v>150</v>
          </cell>
          <cell r="AP1620">
            <v>950</v>
          </cell>
        </row>
        <row r="1621">
          <cell r="C1621">
            <v>44413</v>
          </cell>
          <cell r="N1621">
            <v>475</v>
          </cell>
          <cell r="O1621">
            <v>150</v>
          </cell>
          <cell r="AP1621">
            <v>1473</v>
          </cell>
        </row>
        <row r="1622">
          <cell r="C1622">
            <v>44413</v>
          </cell>
          <cell r="N1622">
            <v>475</v>
          </cell>
          <cell r="O1622">
            <v>150</v>
          </cell>
          <cell r="AP1622">
            <v>1482</v>
          </cell>
        </row>
        <row r="1623">
          <cell r="C1623">
            <v>44413</v>
          </cell>
          <cell r="N1623">
            <v>475</v>
          </cell>
          <cell r="O1623">
            <v>150</v>
          </cell>
          <cell r="AP1623">
            <v>951</v>
          </cell>
        </row>
        <row r="1624">
          <cell r="C1624">
            <v>44413</v>
          </cell>
          <cell r="N1624">
            <v>475</v>
          </cell>
          <cell r="O1624">
            <v>150</v>
          </cell>
          <cell r="AP1624">
            <v>1477</v>
          </cell>
        </row>
        <row r="1625">
          <cell r="C1625">
            <v>44413</v>
          </cell>
          <cell r="N1625">
            <v>475</v>
          </cell>
          <cell r="O1625">
            <v>150</v>
          </cell>
          <cell r="AP1625">
            <v>1396</v>
          </cell>
        </row>
        <row r="1626">
          <cell r="C1626">
            <v>44413</v>
          </cell>
          <cell r="N1626">
            <v>475</v>
          </cell>
          <cell r="O1626">
            <v>150</v>
          </cell>
          <cell r="AP1626">
            <v>895</v>
          </cell>
        </row>
        <row r="1627">
          <cell r="C1627">
            <v>44413</v>
          </cell>
          <cell r="N1627">
            <v>475</v>
          </cell>
          <cell r="O1627">
            <v>150</v>
          </cell>
          <cell r="AP1627">
            <v>1389</v>
          </cell>
        </row>
        <row r="1628">
          <cell r="C1628">
            <v>44413</v>
          </cell>
          <cell r="N1628">
            <v>475</v>
          </cell>
          <cell r="O1628">
            <v>150</v>
          </cell>
          <cell r="AP1628">
            <v>1476</v>
          </cell>
        </row>
        <row r="1629">
          <cell r="C1629">
            <v>44413</v>
          </cell>
          <cell r="N1629">
            <v>475</v>
          </cell>
          <cell r="O1629">
            <v>150</v>
          </cell>
          <cell r="AP1629">
            <v>948</v>
          </cell>
        </row>
        <row r="1630">
          <cell r="C1630">
            <v>44413</v>
          </cell>
          <cell r="N1630">
            <v>475</v>
          </cell>
          <cell r="O1630">
            <v>150</v>
          </cell>
          <cell r="AP1630">
            <v>1471</v>
          </cell>
        </row>
        <row r="1631">
          <cell r="C1631">
            <v>44413</v>
          </cell>
          <cell r="N1631">
            <v>475</v>
          </cell>
          <cell r="O1631">
            <v>150</v>
          </cell>
          <cell r="AP1631">
            <v>1482</v>
          </cell>
        </row>
        <row r="1632">
          <cell r="C1632">
            <v>44413</v>
          </cell>
          <cell r="N1632">
            <v>475</v>
          </cell>
          <cell r="O1632">
            <v>150</v>
          </cell>
          <cell r="AP1632">
            <v>952</v>
          </cell>
        </row>
        <row r="1633">
          <cell r="C1633">
            <v>44413</v>
          </cell>
          <cell r="N1633">
            <v>475</v>
          </cell>
          <cell r="O1633">
            <v>150</v>
          </cell>
          <cell r="AP1633">
            <v>1476</v>
          </cell>
        </row>
        <row r="1634">
          <cell r="C1634">
            <v>44413</v>
          </cell>
          <cell r="N1634">
            <v>475</v>
          </cell>
          <cell r="O1634">
            <v>150</v>
          </cell>
          <cell r="AP1634">
            <v>1491</v>
          </cell>
        </row>
        <row r="1635">
          <cell r="C1635">
            <v>44413</v>
          </cell>
          <cell r="N1635">
            <v>475</v>
          </cell>
          <cell r="O1635">
            <v>150</v>
          </cell>
          <cell r="AP1635">
            <v>957</v>
          </cell>
        </row>
        <row r="1636">
          <cell r="C1636">
            <v>44413</v>
          </cell>
          <cell r="N1636">
            <v>475</v>
          </cell>
          <cell r="O1636">
            <v>150</v>
          </cell>
          <cell r="AP1636">
            <v>1484</v>
          </cell>
        </row>
        <row r="1637">
          <cell r="C1637">
            <v>44413</v>
          </cell>
          <cell r="N1637">
            <v>470</v>
          </cell>
          <cell r="O1637">
            <v>150</v>
          </cell>
          <cell r="AP1637">
            <v>1101</v>
          </cell>
        </row>
        <row r="1638">
          <cell r="C1638">
            <v>44413</v>
          </cell>
          <cell r="N1638">
            <v>470</v>
          </cell>
          <cell r="O1638">
            <v>150</v>
          </cell>
          <cell r="AP1638">
            <v>1504</v>
          </cell>
        </row>
        <row r="1639">
          <cell r="C1639">
            <v>44413</v>
          </cell>
          <cell r="N1639">
            <v>470</v>
          </cell>
          <cell r="O1639">
            <v>150</v>
          </cell>
          <cell r="AP1639">
            <v>1099</v>
          </cell>
        </row>
        <row r="1640">
          <cell r="C1640">
            <v>44413</v>
          </cell>
          <cell r="N1640">
            <v>480</v>
          </cell>
          <cell r="O1640">
            <v>150</v>
          </cell>
          <cell r="AP1640">
            <v>1335</v>
          </cell>
        </row>
        <row r="1641">
          <cell r="C1641">
            <v>44413</v>
          </cell>
          <cell r="N1641">
            <v>480</v>
          </cell>
          <cell r="O1641">
            <v>150</v>
          </cell>
          <cell r="AP1641">
            <v>1088</v>
          </cell>
        </row>
        <row r="1642">
          <cell r="C1642">
            <v>44413</v>
          </cell>
          <cell r="N1642">
            <v>480</v>
          </cell>
          <cell r="O1642">
            <v>150</v>
          </cell>
          <cell r="AP1642">
            <v>1579</v>
          </cell>
        </row>
        <row r="1643">
          <cell r="C1643">
            <v>44413</v>
          </cell>
          <cell r="N1643">
            <v>480</v>
          </cell>
          <cell r="O1643">
            <v>150</v>
          </cell>
          <cell r="AP1643">
            <v>1343</v>
          </cell>
        </row>
        <row r="1644">
          <cell r="C1644">
            <v>44413</v>
          </cell>
          <cell r="N1644">
            <v>480</v>
          </cell>
          <cell r="O1644">
            <v>150</v>
          </cell>
          <cell r="AP1644">
            <v>1094</v>
          </cell>
        </row>
        <row r="1645">
          <cell r="C1645">
            <v>44413</v>
          </cell>
          <cell r="N1645">
            <v>480</v>
          </cell>
          <cell r="O1645">
            <v>150</v>
          </cell>
          <cell r="AP1645">
            <v>1583</v>
          </cell>
        </row>
        <row r="1646">
          <cell r="C1646">
            <v>44412</v>
          </cell>
          <cell r="N1646">
            <v>476</v>
          </cell>
          <cell r="O1646">
            <v>250</v>
          </cell>
          <cell r="AP1646">
            <v>885</v>
          </cell>
        </row>
        <row r="1647">
          <cell r="C1647">
            <v>44412</v>
          </cell>
          <cell r="N1647">
            <v>476</v>
          </cell>
          <cell r="O1647">
            <v>250</v>
          </cell>
          <cell r="AP1647">
            <v>834</v>
          </cell>
        </row>
        <row r="1648">
          <cell r="C1648">
            <v>44412</v>
          </cell>
          <cell r="N1648">
            <v>476</v>
          </cell>
          <cell r="O1648">
            <v>250</v>
          </cell>
          <cell r="AP1648">
            <v>813</v>
          </cell>
        </row>
        <row r="1649">
          <cell r="C1649">
            <v>44412</v>
          </cell>
          <cell r="N1649">
            <v>476</v>
          </cell>
          <cell r="O1649">
            <v>250</v>
          </cell>
          <cell r="AP1649">
            <v>1349</v>
          </cell>
        </row>
        <row r="1650">
          <cell r="C1650">
            <v>44412</v>
          </cell>
          <cell r="N1650">
            <v>476</v>
          </cell>
          <cell r="O1650">
            <v>250</v>
          </cell>
          <cell r="AP1650">
            <v>888</v>
          </cell>
        </row>
        <row r="1651">
          <cell r="C1651">
            <v>44412</v>
          </cell>
          <cell r="N1651">
            <v>476</v>
          </cell>
          <cell r="O1651">
            <v>250</v>
          </cell>
          <cell r="AP1651">
            <v>848</v>
          </cell>
        </row>
        <row r="1652">
          <cell r="C1652">
            <v>44412</v>
          </cell>
          <cell r="N1652">
            <v>476</v>
          </cell>
          <cell r="O1652">
            <v>250</v>
          </cell>
          <cell r="AP1652">
            <v>826</v>
          </cell>
        </row>
        <row r="1653">
          <cell r="C1653">
            <v>44412</v>
          </cell>
          <cell r="N1653">
            <v>476</v>
          </cell>
          <cell r="O1653">
            <v>250</v>
          </cell>
          <cell r="AP1653">
            <v>1352</v>
          </cell>
        </row>
        <row r="1654">
          <cell r="C1654">
            <v>44412</v>
          </cell>
          <cell r="N1654">
            <v>475</v>
          </cell>
          <cell r="O1654">
            <v>250</v>
          </cell>
          <cell r="AP1654">
            <v>989</v>
          </cell>
        </row>
        <row r="1655">
          <cell r="C1655">
            <v>44412</v>
          </cell>
          <cell r="N1655">
            <v>475</v>
          </cell>
          <cell r="O1655">
            <v>250</v>
          </cell>
          <cell r="AP1655">
            <v>988</v>
          </cell>
        </row>
        <row r="1656">
          <cell r="C1656">
            <v>44412</v>
          </cell>
          <cell r="N1656">
            <v>475</v>
          </cell>
          <cell r="O1656">
            <v>250</v>
          </cell>
          <cell r="AP1656">
            <v>987</v>
          </cell>
        </row>
        <row r="1657">
          <cell r="C1657">
            <v>44412</v>
          </cell>
          <cell r="N1657">
            <v>475</v>
          </cell>
          <cell r="O1657">
            <v>250</v>
          </cell>
          <cell r="AP1657">
            <v>942</v>
          </cell>
        </row>
        <row r="1658">
          <cell r="C1658">
            <v>44412</v>
          </cell>
          <cell r="N1658">
            <v>475</v>
          </cell>
          <cell r="O1658">
            <v>250</v>
          </cell>
          <cell r="AP1658">
            <v>948</v>
          </cell>
        </row>
        <row r="1659">
          <cell r="C1659">
            <v>44412</v>
          </cell>
          <cell r="N1659">
            <v>475</v>
          </cell>
          <cell r="O1659">
            <v>250</v>
          </cell>
          <cell r="AP1659">
            <v>961</v>
          </cell>
        </row>
        <row r="1660">
          <cell r="C1660">
            <v>44412</v>
          </cell>
          <cell r="N1660">
            <v>475</v>
          </cell>
          <cell r="O1660">
            <v>250</v>
          </cell>
          <cell r="AP1660">
            <v>957</v>
          </cell>
        </row>
        <row r="1661">
          <cell r="C1661">
            <v>44412</v>
          </cell>
          <cell r="N1661">
            <v>475</v>
          </cell>
          <cell r="O1661">
            <v>250</v>
          </cell>
          <cell r="AP1661">
            <v>916</v>
          </cell>
        </row>
        <row r="1662">
          <cell r="C1662">
            <v>44412</v>
          </cell>
          <cell r="N1662">
            <v>475</v>
          </cell>
          <cell r="O1662">
            <v>250</v>
          </cell>
          <cell r="AP1662">
            <v>894</v>
          </cell>
        </row>
        <row r="1663">
          <cell r="C1663">
            <v>44412</v>
          </cell>
          <cell r="N1663">
            <v>475</v>
          </cell>
          <cell r="O1663">
            <v>250</v>
          </cell>
          <cell r="AP1663">
            <v>905</v>
          </cell>
        </row>
        <row r="1664">
          <cell r="C1664">
            <v>44412</v>
          </cell>
          <cell r="N1664">
            <v>475</v>
          </cell>
          <cell r="O1664">
            <v>250</v>
          </cell>
          <cell r="AP1664">
            <v>882</v>
          </cell>
        </row>
        <row r="1665">
          <cell r="C1665">
            <v>44412</v>
          </cell>
          <cell r="N1665">
            <v>475</v>
          </cell>
          <cell r="O1665">
            <v>250</v>
          </cell>
          <cell r="AP1665">
            <v>846</v>
          </cell>
        </row>
        <row r="1666">
          <cell r="C1666">
            <v>44413</v>
          </cell>
          <cell r="N1666">
            <v>480</v>
          </cell>
          <cell r="O1666">
            <v>150</v>
          </cell>
          <cell r="AP1666">
            <v>1240</v>
          </cell>
        </row>
        <row r="1667">
          <cell r="C1667">
            <v>44413</v>
          </cell>
          <cell r="N1667">
            <v>480</v>
          </cell>
          <cell r="O1667">
            <v>150</v>
          </cell>
          <cell r="AP1667">
            <v>912</v>
          </cell>
        </row>
        <row r="1668">
          <cell r="C1668">
            <v>44413</v>
          </cell>
          <cell r="N1668">
            <v>480</v>
          </cell>
          <cell r="O1668">
            <v>150</v>
          </cell>
          <cell r="AP1668">
            <v>1810</v>
          </cell>
        </row>
        <row r="1669">
          <cell r="C1669">
            <v>44413</v>
          </cell>
          <cell r="N1669">
            <v>480</v>
          </cell>
          <cell r="O1669">
            <v>150</v>
          </cell>
          <cell r="AP1669">
            <v>1202</v>
          </cell>
        </row>
        <row r="1670">
          <cell r="C1670">
            <v>44413</v>
          </cell>
          <cell r="N1670">
            <v>480</v>
          </cell>
          <cell r="O1670">
            <v>150</v>
          </cell>
          <cell r="AP1670">
            <v>885</v>
          </cell>
        </row>
        <row r="1671">
          <cell r="C1671">
            <v>44413</v>
          </cell>
          <cell r="N1671">
            <v>480</v>
          </cell>
          <cell r="O1671">
            <v>150</v>
          </cell>
          <cell r="AP1671">
            <v>1756</v>
          </cell>
        </row>
        <row r="1672">
          <cell r="C1672">
            <v>44413</v>
          </cell>
          <cell r="N1672">
            <v>480</v>
          </cell>
          <cell r="O1672">
            <v>150</v>
          </cell>
          <cell r="AP1672">
            <v>1198</v>
          </cell>
        </row>
        <row r="1673">
          <cell r="C1673">
            <v>44413</v>
          </cell>
          <cell r="N1673">
            <v>480</v>
          </cell>
          <cell r="O1673">
            <v>150</v>
          </cell>
          <cell r="AP1673">
            <v>883</v>
          </cell>
        </row>
        <row r="1674">
          <cell r="C1674">
            <v>44413</v>
          </cell>
          <cell r="N1674">
            <v>480</v>
          </cell>
          <cell r="O1674">
            <v>150</v>
          </cell>
          <cell r="AP1674">
            <v>1752</v>
          </cell>
        </row>
        <row r="1675">
          <cell r="C1675">
            <v>44413</v>
          </cell>
          <cell r="N1675">
            <v>480</v>
          </cell>
          <cell r="O1675">
            <v>150</v>
          </cell>
          <cell r="AP1675">
            <v>1210</v>
          </cell>
        </row>
        <row r="1676">
          <cell r="C1676">
            <v>44413</v>
          </cell>
          <cell r="N1676">
            <v>480</v>
          </cell>
          <cell r="O1676">
            <v>150</v>
          </cell>
          <cell r="AP1676">
            <v>891</v>
          </cell>
        </row>
        <row r="1677">
          <cell r="C1677">
            <v>44413</v>
          </cell>
          <cell r="N1677">
            <v>480</v>
          </cell>
          <cell r="O1677">
            <v>150</v>
          </cell>
          <cell r="AP1677">
            <v>1767</v>
          </cell>
        </row>
        <row r="1678">
          <cell r="C1678">
            <v>44413</v>
          </cell>
          <cell r="N1678">
            <v>480</v>
          </cell>
          <cell r="O1678">
            <v>150</v>
          </cell>
          <cell r="AP1678">
            <v>1212</v>
          </cell>
        </row>
        <row r="1679">
          <cell r="C1679">
            <v>44413</v>
          </cell>
          <cell r="N1679">
            <v>480</v>
          </cell>
          <cell r="O1679">
            <v>150</v>
          </cell>
          <cell r="AP1679">
            <v>892</v>
          </cell>
        </row>
        <row r="1680">
          <cell r="C1680">
            <v>44413</v>
          </cell>
          <cell r="N1680">
            <v>480</v>
          </cell>
          <cell r="O1680">
            <v>150</v>
          </cell>
          <cell r="AP1680">
            <v>1767</v>
          </cell>
        </row>
        <row r="1681">
          <cell r="C1681">
            <v>44413</v>
          </cell>
          <cell r="N1681">
            <v>480</v>
          </cell>
          <cell r="O1681">
            <v>150</v>
          </cell>
          <cell r="AP1681">
            <v>1386</v>
          </cell>
        </row>
        <row r="1682">
          <cell r="C1682">
            <v>44413</v>
          </cell>
          <cell r="N1682">
            <v>480</v>
          </cell>
          <cell r="O1682">
            <v>150</v>
          </cell>
          <cell r="AP1682">
            <v>1129</v>
          </cell>
        </row>
        <row r="1683">
          <cell r="C1683">
            <v>44413</v>
          </cell>
          <cell r="N1683">
            <v>480</v>
          </cell>
          <cell r="O1683">
            <v>150</v>
          </cell>
          <cell r="AP1683">
            <v>1634</v>
          </cell>
        </row>
        <row r="1684">
          <cell r="C1684">
            <v>44413</v>
          </cell>
          <cell r="N1684">
            <v>480</v>
          </cell>
          <cell r="O1684">
            <v>150</v>
          </cell>
          <cell r="AP1684">
            <v>1183</v>
          </cell>
        </row>
        <row r="1685">
          <cell r="C1685">
            <v>44413</v>
          </cell>
          <cell r="N1685">
            <v>480</v>
          </cell>
          <cell r="O1685">
            <v>150</v>
          </cell>
          <cell r="AP1685">
            <v>880</v>
          </cell>
        </row>
        <row r="1686">
          <cell r="C1686">
            <v>44413</v>
          </cell>
          <cell r="N1686">
            <v>480</v>
          </cell>
          <cell r="O1686">
            <v>150</v>
          </cell>
          <cell r="AP1686">
            <v>879</v>
          </cell>
        </row>
        <row r="1687">
          <cell r="C1687">
            <v>44413</v>
          </cell>
          <cell r="N1687">
            <v>480</v>
          </cell>
          <cell r="O1687">
            <v>150</v>
          </cell>
          <cell r="AP1687">
            <v>1264</v>
          </cell>
        </row>
        <row r="1688">
          <cell r="C1688">
            <v>44413</v>
          </cell>
          <cell r="N1688">
            <v>480</v>
          </cell>
          <cell r="O1688">
            <v>150</v>
          </cell>
          <cell r="AP1688">
            <v>1153</v>
          </cell>
        </row>
        <row r="1689">
          <cell r="C1689">
            <v>44413</v>
          </cell>
          <cell r="N1689">
            <v>480</v>
          </cell>
          <cell r="O1689">
            <v>150</v>
          </cell>
          <cell r="AP1689">
            <v>857</v>
          </cell>
        </row>
        <row r="1690">
          <cell r="C1690">
            <v>44413</v>
          </cell>
          <cell r="N1690">
            <v>480</v>
          </cell>
          <cell r="O1690">
            <v>150</v>
          </cell>
          <cell r="AP1690">
            <v>858</v>
          </cell>
        </row>
        <row r="1691">
          <cell r="C1691">
            <v>44413</v>
          </cell>
          <cell r="N1691">
            <v>480</v>
          </cell>
          <cell r="O1691">
            <v>150</v>
          </cell>
          <cell r="AP1691">
            <v>1229</v>
          </cell>
        </row>
        <row r="1692">
          <cell r="C1692">
            <v>44413</v>
          </cell>
          <cell r="N1692">
            <v>480</v>
          </cell>
          <cell r="O1692">
            <v>150</v>
          </cell>
          <cell r="AP1692">
            <v>1129</v>
          </cell>
        </row>
        <row r="1693">
          <cell r="C1693">
            <v>44413</v>
          </cell>
          <cell r="N1693">
            <v>480</v>
          </cell>
          <cell r="O1693">
            <v>150</v>
          </cell>
          <cell r="AP1693">
            <v>842</v>
          </cell>
        </row>
        <row r="1694">
          <cell r="C1694">
            <v>44413</v>
          </cell>
          <cell r="N1694">
            <v>480</v>
          </cell>
          <cell r="O1694">
            <v>150</v>
          </cell>
          <cell r="AP1694">
            <v>842</v>
          </cell>
        </row>
        <row r="1695">
          <cell r="C1695">
            <v>44413</v>
          </cell>
          <cell r="N1695">
            <v>480</v>
          </cell>
          <cell r="O1695">
            <v>150</v>
          </cell>
          <cell r="AP1695">
            <v>1209</v>
          </cell>
        </row>
        <row r="1696">
          <cell r="C1696">
            <v>44413</v>
          </cell>
          <cell r="N1696">
            <v>480</v>
          </cell>
          <cell r="O1696">
            <v>150</v>
          </cell>
          <cell r="AP1696">
            <v>1143</v>
          </cell>
        </row>
        <row r="1697">
          <cell r="C1697">
            <v>44413</v>
          </cell>
          <cell r="N1697">
            <v>480</v>
          </cell>
          <cell r="O1697">
            <v>150</v>
          </cell>
          <cell r="AP1697">
            <v>851</v>
          </cell>
        </row>
        <row r="1698">
          <cell r="C1698">
            <v>44413</v>
          </cell>
          <cell r="N1698">
            <v>480</v>
          </cell>
          <cell r="O1698">
            <v>150</v>
          </cell>
          <cell r="AP1698">
            <v>851</v>
          </cell>
        </row>
        <row r="1699">
          <cell r="C1699">
            <v>44413</v>
          </cell>
          <cell r="N1699">
            <v>480</v>
          </cell>
          <cell r="O1699">
            <v>150</v>
          </cell>
          <cell r="AP1699">
            <v>1222</v>
          </cell>
        </row>
        <row r="1700">
          <cell r="C1700">
            <v>44413</v>
          </cell>
          <cell r="N1700">
            <v>480</v>
          </cell>
          <cell r="O1700">
            <v>150</v>
          </cell>
          <cell r="AP1700">
            <v>1177</v>
          </cell>
        </row>
        <row r="1701">
          <cell r="C1701">
            <v>44413</v>
          </cell>
          <cell r="N1701">
            <v>480</v>
          </cell>
          <cell r="O1701">
            <v>150</v>
          </cell>
          <cell r="AP1701">
            <v>876</v>
          </cell>
        </row>
        <row r="1702">
          <cell r="C1702">
            <v>44413</v>
          </cell>
          <cell r="N1702">
            <v>480</v>
          </cell>
          <cell r="O1702">
            <v>150</v>
          </cell>
          <cell r="AP1702">
            <v>874</v>
          </cell>
        </row>
        <row r="1703">
          <cell r="C1703">
            <v>44413</v>
          </cell>
          <cell r="N1703">
            <v>480</v>
          </cell>
          <cell r="O1703">
            <v>150</v>
          </cell>
          <cell r="AP1703">
            <v>1255</v>
          </cell>
        </row>
        <row r="1704">
          <cell r="C1704">
            <v>44413</v>
          </cell>
          <cell r="N1704">
            <v>480</v>
          </cell>
          <cell r="O1704">
            <v>150</v>
          </cell>
          <cell r="AP1704">
            <v>1144</v>
          </cell>
        </row>
        <row r="1705">
          <cell r="C1705">
            <v>44413</v>
          </cell>
          <cell r="N1705">
            <v>480</v>
          </cell>
          <cell r="O1705">
            <v>150</v>
          </cell>
          <cell r="AP1705">
            <v>850</v>
          </cell>
        </row>
        <row r="1706">
          <cell r="C1706">
            <v>44413</v>
          </cell>
          <cell r="N1706">
            <v>480</v>
          </cell>
          <cell r="O1706">
            <v>150</v>
          </cell>
          <cell r="AP1706">
            <v>851</v>
          </cell>
        </row>
        <row r="1707">
          <cell r="C1707">
            <v>44413</v>
          </cell>
          <cell r="N1707">
            <v>480</v>
          </cell>
          <cell r="O1707">
            <v>150</v>
          </cell>
          <cell r="AP1707">
            <v>1222</v>
          </cell>
        </row>
        <row r="1708">
          <cell r="C1708">
            <v>44413</v>
          </cell>
          <cell r="N1708">
            <v>480</v>
          </cell>
          <cell r="O1708">
            <v>150</v>
          </cell>
          <cell r="AP1708">
            <v>1140</v>
          </cell>
        </row>
        <row r="1709">
          <cell r="C1709">
            <v>44413</v>
          </cell>
          <cell r="N1709">
            <v>480</v>
          </cell>
          <cell r="O1709">
            <v>150</v>
          </cell>
          <cell r="AP1709">
            <v>848</v>
          </cell>
        </row>
        <row r="1710">
          <cell r="C1710">
            <v>44413</v>
          </cell>
          <cell r="N1710">
            <v>480</v>
          </cell>
          <cell r="O1710">
            <v>150</v>
          </cell>
          <cell r="AP1710">
            <v>847</v>
          </cell>
        </row>
        <row r="1711">
          <cell r="C1711">
            <v>44413</v>
          </cell>
          <cell r="N1711">
            <v>480</v>
          </cell>
          <cell r="O1711">
            <v>150</v>
          </cell>
          <cell r="AP1711">
            <v>1217</v>
          </cell>
        </row>
        <row r="1712">
          <cell r="C1712">
            <v>44413</v>
          </cell>
          <cell r="N1712">
            <v>480</v>
          </cell>
          <cell r="O1712">
            <v>150</v>
          </cell>
          <cell r="AP1712">
            <v>1141</v>
          </cell>
        </row>
        <row r="1713">
          <cell r="C1713">
            <v>44413</v>
          </cell>
          <cell r="N1713">
            <v>480</v>
          </cell>
          <cell r="O1713">
            <v>150</v>
          </cell>
          <cell r="AP1713">
            <v>848</v>
          </cell>
        </row>
        <row r="1714">
          <cell r="C1714">
            <v>44413</v>
          </cell>
          <cell r="N1714">
            <v>480</v>
          </cell>
          <cell r="O1714">
            <v>150</v>
          </cell>
          <cell r="AP1714">
            <v>848</v>
          </cell>
        </row>
        <row r="1715">
          <cell r="C1715">
            <v>44413</v>
          </cell>
          <cell r="N1715">
            <v>480</v>
          </cell>
          <cell r="O1715">
            <v>150</v>
          </cell>
          <cell r="AP1715">
            <v>1230</v>
          </cell>
        </row>
        <row r="1716">
          <cell r="C1716">
            <v>44413</v>
          </cell>
          <cell r="N1716">
            <v>480</v>
          </cell>
          <cell r="O1716">
            <v>150</v>
          </cell>
          <cell r="AP1716">
            <v>1136</v>
          </cell>
        </row>
        <row r="1717">
          <cell r="C1717">
            <v>44413</v>
          </cell>
          <cell r="N1717">
            <v>480</v>
          </cell>
          <cell r="O1717">
            <v>150</v>
          </cell>
          <cell r="AP1717">
            <v>862</v>
          </cell>
        </row>
        <row r="1718">
          <cell r="C1718">
            <v>44413</v>
          </cell>
          <cell r="N1718">
            <v>480</v>
          </cell>
          <cell r="O1718">
            <v>150</v>
          </cell>
          <cell r="AP1718">
            <v>861</v>
          </cell>
        </row>
        <row r="1719">
          <cell r="C1719">
            <v>44413</v>
          </cell>
          <cell r="N1719">
            <v>480</v>
          </cell>
          <cell r="O1719">
            <v>150</v>
          </cell>
          <cell r="AP1719">
            <v>1235</v>
          </cell>
        </row>
        <row r="1720">
          <cell r="C1720">
            <v>44413</v>
          </cell>
          <cell r="N1720">
            <v>480</v>
          </cell>
          <cell r="O1720">
            <v>150</v>
          </cell>
          <cell r="AP1720">
            <v>1161</v>
          </cell>
        </row>
        <row r="1721">
          <cell r="C1721">
            <v>44413</v>
          </cell>
          <cell r="N1721">
            <v>480</v>
          </cell>
          <cell r="O1721">
            <v>150</v>
          </cell>
          <cell r="AP1721">
            <v>863</v>
          </cell>
        </row>
        <row r="1722">
          <cell r="C1722">
            <v>44413</v>
          </cell>
          <cell r="N1722">
            <v>480</v>
          </cell>
          <cell r="O1722">
            <v>150</v>
          </cell>
          <cell r="AP1722">
            <v>861</v>
          </cell>
        </row>
        <row r="1723">
          <cell r="C1723">
            <v>44413</v>
          </cell>
          <cell r="N1723">
            <v>480</v>
          </cell>
          <cell r="O1723">
            <v>150</v>
          </cell>
          <cell r="AP1723">
            <v>1241</v>
          </cell>
        </row>
        <row r="1724">
          <cell r="C1724">
            <v>44413</v>
          </cell>
          <cell r="N1724">
            <v>475</v>
          </cell>
          <cell r="O1724">
            <v>150</v>
          </cell>
          <cell r="AP1724">
            <v>1394</v>
          </cell>
        </row>
        <row r="1725">
          <cell r="C1725">
            <v>44413</v>
          </cell>
          <cell r="N1725">
            <v>475</v>
          </cell>
          <cell r="O1725">
            <v>150</v>
          </cell>
          <cell r="AP1725">
            <v>1112</v>
          </cell>
        </row>
        <row r="1726">
          <cell r="C1726">
            <v>44413</v>
          </cell>
          <cell r="N1726">
            <v>475</v>
          </cell>
          <cell r="O1726">
            <v>150</v>
          </cell>
          <cell r="AP1726">
            <v>1389</v>
          </cell>
        </row>
        <row r="1727">
          <cell r="C1727">
            <v>44413</v>
          </cell>
          <cell r="N1727">
            <v>475</v>
          </cell>
          <cell r="O1727">
            <v>150</v>
          </cell>
          <cell r="AP1727">
            <v>1468</v>
          </cell>
        </row>
        <row r="1728">
          <cell r="C1728">
            <v>44413</v>
          </cell>
          <cell r="N1728">
            <v>475</v>
          </cell>
          <cell r="O1728">
            <v>150</v>
          </cell>
          <cell r="AP1728">
            <v>1171</v>
          </cell>
        </row>
        <row r="1729">
          <cell r="C1729">
            <v>44413</v>
          </cell>
          <cell r="N1729">
            <v>475</v>
          </cell>
          <cell r="O1729">
            <v>150</v>
          </cell>
          <cell r="AP1729">
            <v>1465</v>
          </cell>
        </row>
        <row r="1730">
          <cell r="C1730">
            <v>44413</v>
          </cell>
          <cell r="N1730">
            <v>475</v>
          </cell>
          <cell r="O1730">
            <v>150</v>
          </cell>
          <cell r="AP1730">
            <v>1403</v>
          </cell>
        </row>
        <row r="1731">
          <cell r="C1731">
            <v>44413</v>
          </cell>
          <cell r="N1731">
            <v>475</v>
          </cell>
          <cell r="O1731">
            <v>150</v>
          </cell>
          <cell r="AP1731">
            <v>1117</v>
          </cell>
        </row>
        <row r="1732">
          <cell r="C1732">
            <v>44413</v>
          </cell>
          <cell r="N1732">
            <v>475</v>
          </cell>
          <cell r="O1732">
            <v>150</v>
          </cell>
          <cell r="AP1732">
            <v>1397</v>
          </cell>
        </row>
        <row r="1733">
          <cell r="C1733">
            <v>44413</v>
          </cell>
          <cell r="N1733">
            <v>475</v>
          </cell>
          <cell r="O1733">
            <v>150</v>
          </cell>
          <cell r="AP1733">
            <v>1433</v>
          </cell>
        </row>
        <row r="1734">
          <cell r="C1734">
            <v>44413</v>
          </cell>
          <cell r="N1734">
            <v>475</v>
          </cell>
          <cell r="O1734">
            <v>150</v>
          </cell>
          <cell r="AP1734">
            <v>1148</v>
          </cell>
        </row>
        <row r="1735">
          <cell r="C1735">
            <v>44413</v>
          </cell>
          <cell r="N1735">
            <v>475</v>
          </cell>
          <cell r="O1735">
            <v>150</v>
          </cell>
          <cell r="AP1735">
            <v>1431</v>
          </cell>
        </row>
        <row r="1736">
          <cell r="C1736">
            <v>44413</v>
          </cell>
          <cell r="N1736">
            <v>475</v>
          </cell>
          <cell r="O1736">
            <v>150</v>
          </cell>
          <cell r="AP1736">
            <v>1409</v>
          </cell>
        </row>
        <row r="1737">
          <cell r="C1737">
            <v>44413</v>
          </cell>
          <cell r="N1737">
            <v>475</v>
          </cell>
          <cell r="O1737">
            <v>150</v>
          </cell>
          <cell r="AP1737">
            <v>1126</v>
          </cell>
        </row>
        <row r="1738">
          <cell r="C1738">
            <v>44413</v>
          </cell>
          <cell r="N1738">
            <v>475</v>
          </cell>
          <cell r="O1738">
            <v>150</v>
          </cell>
          <cell r="AP1738">
            <v>1405</v>
          </cell>
        </row>
        <row r="1739">
          <cell r="C1739">
            <v>44413</v>
          </cell>
          <cell r="N1739">
            <v>475</v>
          </cell>
          <cell r="O1739">
            <v>150</v>
          </cell>
          <cell r="AP1739">
            <v>1434</v>
          </cell>
        </row>
        <row r="1740">
          <cell r="C1740">
            <v>44413</v>
          </cell>
          <cell r="N1740">
            <v>475</v>
          </cell>
          <cell r="O1740">
            <v>150</v>
          </cell>
          <cell r="AP1740">
            <v>1145</v>
          </cell>
        </row>
        <row r="1741">
          <cell r="C1741">
            <v>44413</v>
          </cell>
          <cell r="N1741">
            <v>475</v>
          </cell>
          <cell r="O1741">
            <v>150</v>
          </cell>
          <cell r="AP1741">
            <v>1427</v>
          </cell>
        </row>
        <row r="1742">
          <cell r="C1742">
            <v>44413</v>
          </cell>
          <cell r="N1742">
            <v>475</v>
          </cell>
          <cell r="O1742">
            <v>150</v>
          </cell>
          <cell r="AP1742">
            <v>1417</v>
          </cell>
        </row>
        <row r="1743">
          <cell r="C1743">
            <v>44413</v>
          </cell>
          <cell r="N1743">
            <v>475</v>
          </cell>
          <cell r="O1743">
            <v>150</v>
          </cell>
          <cell r="AP1743">
            <v>1127</v>
          </cell>
        </row>
        <row r="1744">
          <cell r="C1744">
            <v>44413</v>
          </cell>
          <cell r="N1744">
            <v>475</v>
          </cell>
          <cell r="O1744">
            <v>150</v>
          </cell>
          <cell r="AP1744">
            <v>1405</v>
          </cell>
        </row>
        <row r="1745">
          <cell r="C1745">
            <v>44413</v>
          </cell>
          <cell r="N1745">
            <v>475</v>
          </cell>
          <cell r="O1745">
            <v>150</v>
          </cell>
          <cell r="AP1745">
            <v>1402</v>
          </cell>
        </row>
        <row r="1746">
          <cell r="C1746">
            <v>44413</v>
          </cell>
          <cell r="N1746">
            <v>475</v>
          </cell>
          <cell r="O1746">
            <v>150</v>
          </cell>
          <cell r="AP1746">
            <v>1115</v>
          </cell>
        </row>
        <row r="1747">
          <cell r="C1747">
            <v>44413</v>
          </cell>
          <cell r="N1747">
            <v>475</v>
          </cell>
          <cell r="O1747">
            <v>150</v>
          </cell>
          <cell r="AP1747">
            <v>1391</v>
          </cell>
        </row>
        <row r="1748">
          <cell r="C1748">
            <v>44413</v>
          </cell>
          <cell r="N1748">
            <v>470</v>
          </cell>
          <cell r="O1748">
            <v>150</v>
          </cell>
          <cell r="AP1748">
            <v>1579</v>
          </cell>
        </row>
        <row r="1749">
          <cell r="C1749">
            <v>44413</v>
          </cell>
          <cell r="N1749">
            <v>470</v>
          </cell>
          <cell r="O1749">
            <v>150</v>
          </cell>
          <cell r="AP1749">
            <v>1167</v>
          </cell>
        </row>
        <row r="1750">
          <cell r="C1750">
            <v>44413</v>
          </cell>
          <cell r="N1750">
            <v>470</v>
          </cell>
          <cell r="O1750">
            <v>150</v>
          </cell>
          <cell r="AP1750">
            <v>1158</v>
          </cell>
        </row>
        <row r="1751">
          <cell r="C1751">
            <v>44413</v>
          </cell>
          <cell r="N1751">
            <v>470</v>
          </cell>
          <cell r="O1751">
            <v>150</v>
          </cell>
          <cell r="AP1751">
            <v>1598</v>
          </cell>
        </row>
        <row r="1752">
          <cell r="C1752">
            <v>44413</v>
          </cell>
          <cell r="N1752">
            <v>470</v>
          </cell>
          <cell r="O1752">
            <v>150</v>
          </cell>
          <cell r="AP1752">
            <v>1179</v>
          </cell>
        </row>
        <row r="1753">
          <cell r="C1753">
            <v>44413</v>
          </cell>
          <cell r="N1753">
            <v>470</v>
          </cell>
          <cell r="O1753">
            <v>150</v>
          </cell>
          <cell r="AP1753">
            <v>1169</v>
          </cell>
        </row>
        <row r="1754">
          <cell r="C1754">
            <v>44413</v>
          </cell>
          <cell r="N1754">
            <v>470</v>
          </cell>
          <cell r="O1754">
            <v>150</v>
          </cell>
          <cell r="AP1754">
            <v>1587</v>
          </cell>
        </row>
        <row r="1755">
          <cell r="C1755">
            <v>44413</v>
          </cell>
          <cell r="N1755">
            <v>470</v>
          </cell>
          <cell r="O1755">
            <v>150</v>
          </cell>
          <cell r="AP1755">
            <v>1172</v>
          </cell>
        </row>
        <row r="1756">
          <cell r="C1756">
            <v>44413</v>
          </cell>
          <cell r="N1756">
            <v>470</v>
          </cell>
          <cell r="O1756">
            <v>150</v>
          </cell>
          <cell r="AP1756">
            <v>1164</v>
          </cell>
        </row>
        <row r="1757">
          <cell r="C1757">
            <v>44413</v>
          </cell>
          <cell r="N1757">
            <v>470</v>
          </cell>
          <cell r="O1757">
            <v>150</v>
          </cell>
          <cell r="AP1757">
            <v>1636</v>
          </cell>
        </row>
        <row r="1758">
          <cell r="C1758">
            <v>44413</v>
          </cell>
          <cell r="N1758">
            <v>470</v>
          </cell>
          <cell r="O1758">
            <v>150</v>
          </cell>
          <cell r="AP1758">
            <v>1207</v>
          </cell>
        </row>
        <row r="1759">
          <cell r="C1759">
            <v>44413</v>
          </cell>
          <cell r="N1759">
            <v>470</v>
          </cell>
          <cell r="O1759">
            <v>150</v>
          </cell>
          <cell r="AP1759">
            <v>1206</v>
          </cell>
        </row>
        <row r="1760">
          <cell r="C1760">
            <v>44409</v>
          </cell>
          <cell r="N1760">
            <v>435</v>
          </cell>
          <cell r="O1760">
            <v>125</v>
          </cell>
          <cell r="AP1760">
            <v>880</v>
          </cell>
        </row>
        <row r="1761">
          <cell r="C1761">
            <v>44409</v>
          </cell>
          <cell r="N1761">
            <v>435</v>
          </cell>
          <cell r="O1761">
            <v>125</v>
          </cell>
          <cell r="AP1761">
            <v>708</v>
          </cell>
        </row>
        <row r="1762">
          <cell r="C1762">
            <v>44409</v>
          </cell>
          <cell r="N1762">
            <v>435</v>
          </cell>
          <cell r="O1762">
            <v>125</v>
          </cell>
          <cell r="AP1762">
            <v>1287</v>
          </cell>
        </row>
        <row r="1763">
          <cell r="C1763">
            <v>44409</v>
          </cell>
          <cell r="N1763">
            <v>435</v>
          </cell>
          <cell r="O1763">
            <v>125</v>
          </cell>
          <cell r="AP1763">
            <v>967</v>
          </cell>
        </row>
        <row r="1764">
          <cell r="C1764">
            <v>44409</v>
          </cell>
          <cell r="N1764">
            <v>435</v>
          </cell>
          <cell r="O1764">
            <v>125</v>
          </cell>
          <cell r="AP1764">
            <v>843</v>
          </cell>
        </row>
        <row r="1765">
          <cell r="C1765">
            <v>44409</v>
          </cell>
          <cell r="N1765">
            <v>435</v>
          </cell>
          <cell r="O1765">
            <v>125</v>
          </cell>
          <cell r="AP1765">
            <v>677</v>
          </cell>
        </row>
        <row r="1766">
          <cell r="C1766">
            <v>44409</v>
          </cell>
          <cell r="N1766">
            <v>435</v>
          </cell>
          <cell r="O1766">
            <v>125</v>
          </cell>
          <cell r="AP1766">
            <v>1230</v>
          </cell>
        </row>
        <row r="1767">
          <cell r="C1767">
            <v>44409</v>
          </cell>
          <cell r="N1767">
            <v>435</v>
          </cell>
          <cell r="O1767">
            <v>125</v>
          </cell>
          <cell r="AP1767">
            <v>923</v>
          </cell>
        </row>
        <row r="1768">
          <cell r="C1768">
            <v>44409</v>
          </cell>
          <cell r="N1768">
            <v>435</v>
          </cell>
          <cell r="O1768">
            <v>125</v>
          </cell>
          <cell r="AP1768">
            <v>859</v>
          </cell>
        </row>
        <row r="1769">
          <cell r="C1769">
            <v>44409</v>
          </cell>
          <cell r="N1769">
            <v>435</v>
          </cell>
          <cell r="O1769">
            <v>125</v>
          </cell>
          <cell r="AP1769">
            <v>689</v>
          </cell>
        </row>
        <row r="1770">
          <cell r="C1770">
            <v>44409</v>
          </cell>
          <cell r="N1770">
            <v>435</v>
          </cell>
          <cell r="O1770">
            <v>125</v>
          </cell>
          <cell r="AP1770">
            <v>1252</v>
          </cell>
        </row>
        <row r="1771">
          <cell r="C1771">
            <v>44409</v>
          </cell>
          <cell r="N1771">
            <v>435</v>
          </cell>
          <cell r="O1771">
            <v>125</v>
          </cell>
          <cell r="AP1771">
            <v>950</v>
          </cell>
        </row>
        <row r="1772">
          <cell r="C1772">
            <v>44409</v>
          </cell>
          <cell r="N1772">
            <v>438</v>
          </cell>
          <cell r="O1772">
            <v>125</v>
          </cell>
          <cell r="AP1772">
            <v>1271</v>
          </cell>
        </row>
        <row r="1773">
          <cell r="C1773">
            <v>44409</v>
          </cell>
          <cell r="N1773">
            <v>438</v>
          </cell>
          <cell r="O1773">
            <v>125</v>
          </cell>
          <cell r="AP1773">
            <v>766</v>
          </cell>
        </row>
        <row r="1774">
          <cell r="C1774">
            <v>44409</v>
          </cell>
          <cell r="N1774">
            <v>438</v>
          </cell>
          <cell r="O1774">
            <v>125</v>
          </cell>
          <cell r="AP1774">
            <v>709</v>
          </cell>
        </row>
        <row r="1775">
          <cell r="C1775">
            <v>44409</v>
          </cell>
          <cell r="N1775">
            <v>438</v>
          </cell>
          <cell r="O1775">
            <v>125</v>
          </cell>
          <cell r="AP1775">
            <v>981</v>
          </cell>
        </row>
        <row r="1776">
          <cell r="C1776">
            <v>44409</v>
          </cell>
          <cell r="N1776">
            <v>438</v>
          </cell>
          <cell r="O1776">
            <v>125</v>
          </cell>
          <cell r="AP1776">
            <v>1306</v>
          </cell>
        </row>
        <row r="1777">
          <cell r="C1777">
            <v>44409</v>
          </cell>
          <cell r="N1777">
            <v>438</v>
          </cell>
          <cell r="O1777">
            <v>125</v>
          </cell>
          <cell r="AP1777">
            <v>783</v>
          </cell>
        </row>
        <row r="1778">
          <cell r="C1778">
            <v>44409</v>
          </cell>
          <cell r="N1778">
            <v>438</v>
          </cell>
          <cell r="O1778">
            <v>125</v>
          </cell>
          <cell r="AP1778">
            <v>727</v>
          </cell>
        </row>
        <row r="1779">
          <cell r="C1779">
            <v>44409</v>
          </cell>
          <cell r="N1779">
            <v>438</v>
          </cell>
          <cell r="O1779">
            <v>125</v>
          </cell>
          <cell r="AP1779">
            <v>1006</v>
          </cell>
        </row>
        <row r="1780">
          <cell r="C1780">
            <v>44414</v>
          </cell>
          <cell r="N1780">
            <v>475</v>
          </cell>
          <cell r="O1780">
            <v>150</v>
          </cell>
          <cell r="AP1780">
            <v>1432</v>
          </cell>
        </row>
        <row r="1781">
          <cell r="C1781">
            <v>44414</v>
          </cell>
          <cell r="N1781">
            <v>475</v>
          </cell>
          <cell r="O1781">
            <v>150</v>
          </cell>
          <cell r="AP1781">
            <v>1141</v>
          </cell>
        </row>
        <row r="1782">
          <cell r="C1782">
            <v>44414</v>
          </cell>
          <cell r="N1782">
            <v>475</v>
          </cell>
          <cell r="O1782">
            <v>150</v>
          </cell>
          <cell r="AP1782">
            <v>1426</v>
          </cell>
        </row>
        <row r="1783">
          <cell r="C1783">
            <v>44414</v>
          </cell>
          <cell r="N1783">
            <v>475</v>
          </cell>
          <cell r="O1783">
            <v>150</v>
          </cell>
          <cell r="AP1783">
            <v>1474</v>
          </cell>
        </row>
        <row r="1784">
          <cell r="C1784">
            <v>44414</v>
          </cell>
          <cell r="N1784">
            <v>475</v>
          </cell>
          <cell r="O1784">
            <v>150</v>
          </cell>
          <cell r="AP1784">
            <v>1175</v>
          </cell>
        </row>
        <row r="1785">
          <cell r="C1785">
            <v>44414</v>
          </cell>
          <cell r="N1785">
            <v>475</v>
          </cell>
          <cell r="O1785">
            <v>150</v>
          </cell>
          <cell r="AP1785">
            <v>1467</v>
          </cell>
        </row>
        <row r="1786">
          <cell r="C1786">
            <v>44414</v>
          </cell>
          <cell r="N1786">
            <v>475</v>
          </cell>
          <cell r="O1786">
            <v>150</v>
          </cell>
          <cell r="AP1786">
            <v>1178</v>
          </cell>
        </row>
        <row r="1787">
          <cell r="C1787">
            <v>44414</v>
          </cell>
          <cell r="N1787">
            <v>475</v>
          </cell>
          <cell r="O1787">
            <v>150</v>
          </cell>
          <cell r="AP1787">
            <v>1506</v>
          </cell>
        </row>
        <row r="1788">
          <cell r="C1788">
            <v>44414</v>
          </cell>
          <cell r="N1788">
            <v>475</v>
          </cell>
          <cell r="O1788">
            <v>150</v>
          </cell>
          <cell r="AP1788">
            <v>1171</v>
          </cell>
        </row>
        <row r="1789">
          <cell r="C1789">
            <v>44414</v>
          </cell>
          <cell r="N1789">
            <v>475</v>
          </cell>
          <cell r="O1789">
            <v>150</v>
          </cell>
          <cell r="AP1789">
            <v>1172</v>
          </cell>
        </row>
        <row r="1790">
          <cell r="C1790">
            <v>44414</v>
          </cell>
          <cell r="N1790">
            <v>475</v>
          </cell>
          <cell r="O1790">
            <v>150</v>
          </cell>
          <cell r="AP1790">
            <v>1498</v>
          </cell>
        </row>
        <row r="1791">
          <cell r="C1791">
            <v>44414</v>
          </cell>
          <cell r="N1791">
            <v>475</v>
          </cell>
          <cell r="O1791">
            <v>150</v>
          </cell>
          <cell r="AP1791">
            <v>1164</v>
          </cell>
        </row>
        <row r="1792">
          <cell r="C1792">
            <v>44414</v>
          </cell>
          <cell r="N1792">
            <v>475</v>
          </cell>
          <cell r="O1792">
            <v>150</v>
          </cell>
          <cell r="AP1792">
            <v>1120</v>
          </cell>
        </row>
        <row r="1793">
          <cell r="C1793">
            <v>44414</v>
          </cell>
          <cell r="N1793">
            <v>475</v>
          </cell>
          <cell r="O1793">
            <v>150</v>
          </cell>
          <cell r="AP1793">
            <v>1562</v>
          </cell>
        </row>
        <row r="1794">
          <cell r="C1794">
            <v>44414</v>
          </cell>
          <cell r="N1794">
            <v>475</v>
          </cell>
          <cell r="O1794">
            <v>150</v>
          </cell>
          <cell r="AP1794">
            <v>1112</v>
          </cell>
        </row>
        <row r="1795">
          <cell r="C1795">
            <v>44414</v>
          </cell>
          <cell r="N1795">
            <v>475</v>
          </cell>
          <cell r="O1795">
            <v>150</v>
          </cell>
          <cell r="AP1795">
            <v>1124</v>
          </cell>
        </row>
        <row r="1796">
          <cell r="C1796">
            <v>44414</v>
          </cell>
          <cell r="N1796">
            <v>475</v>
          </cell>
          <cell r="O1796">
            <v>150</v>
          </cell>
          <cell r="AP1796">
            <v>1569</v>
          </cell>
        </row>
        <row r="1797">
          <cell r="C1797">
            <v>44414</v>
          </cell>
          <cell r="N1797">
            <v>475</v>
          </cell>
          <cell r="O1797">
            <v>150</v>
          </cell>
          <cell r="AP1797">
            <v>1115</v>
          </cell>
        </row>
        <row r="1798">
          <cell r="C1798">
            <v>44414</v>
          </cell>
          <cell r="N1798">
            <v>475</v>
          </cell>
          <cell r="O1798">
            <v>150</v>
          </cell>
          <cell r="AP1798">
            <v>1372</v>
          </cell>
        </row>
        <row r="1799">
          <cell r="C1799">
            <v>44414</v>
          </cell>
          <cell r="N1799">
            <v>475</v>
          </cell>
          <cell r="O1799">
            <v>150</v>
          </cell>
          <cell r="AP1799">
            <v>1549</v>
          </cell>
        </row>
        <row r="1800">
          <cell r="C1800">
            <v>44414</v>
          </cell>
          <cell r="N1800">
            <v>475</v>
          </cell>
          <cell r="O1800">
            <v>150</v>
          </cell>
          <cell r="AP1800">
            <v>1144</v>
          </cell>
        </row>
        <row r="1801">
          <cell r="C1801">
            <v>44414</v>
          </cell>
          <cell r="N1801">
            <v>475</v>
          </cell>
          <cell r="O1801">
            <v>150</v>
          </cell>
          <cell r="AP1801">
            <v>1353</v>
          </cell>
        </row>
        <row r="1802">
          <cell r="C1802">
            <v>44414</v>
          </cell>
          <cell r="N1802">
            <v>475</v>
          </cell>
          <cell r="O1802">
            <v>150</v>
          </cell>
          <cell r="AP1802">
            <v>1528</v>
          </cell>
        </row>
        <row r="1803">
          <cell r="C1803">
            <v>44414</v>
          </cell>
          <cell r="N1803">
            <v>475</v>
          </cell>
          <cell r="O1803">
            <v>150</v>
          </cell>
          <cell r="AP1803">
            <v>1136</v>
          </cell>
        </row>
        <row r="1804">
          <cell r="C1804">
            <v>44414</v>
          </cell>
          <cell r="N1804">
            <v>485</v>
          </cell>
          <cell r="O1804">
            <v>150</v>
          </cell>
          <cell r="AP1804">
            <v>1456</v>
          </cell>
        </row>
        <row r="1805">
          <cell r="C1805">
            <v>44414</v>
          </cell>
          <cell r="N1805">
            <v>480</v>
          </cell>
          <cell r="O1805">
            <v>150</v>
          </cell>
          <cell r="AP1805">
            <v>1636</v>
          </cell>
        </row>
        <row r="1806">
          <cell r="C1806">
            <v>44414</v>
          </cell>
          <cell r="N1806">
            <v>480</v>
          </cell>
          <cell r="O1806">
            <v>150</v>
          </cell>
          <cell r="AP1806">
            <v>1188</v>
          </cell>
        </row>
        <row r="1807">
          <cell r="C1807">
            <v>44414</v>
          </cell>
          <cell r="N1807">
            <v>485</v>
          </cell>
          <cell r="O1807">
            <v>150</v>
          </cell>
          <cell r="AP1807">
            <v>1347</v>
          </cell>
        </row>
        <row r="1808">
          <cell r="C1808">
            <v>44414</v>
          </cell>
          <cell r="N1808">
            <v>485</v>
          </cell>
          <cell r="O1808">
            <v>150</v>
          </cell>
          <cell r="AP1808">
            <v>1649</v>
          </cell>
        </row>
        <row r="1809">
          <cell r="C1809">
            <v>44414</v>
          </cell>
          <cell r="N1809">
            <v>485</v>
          </cell>
          <cell r="O1809">
            <v>150</v>
          </cell>
          <cell r="AP1809">
            <v>1128</v>
          </cell>
        </row>
        <row r="1810">
          <cell r="C1810">
            <v>44414</v>
          </cell>
          <cell r="N1810">
            <v>480</v>
          </cell>
          <cell r="O1810">
            <v>150</v>
          </cell>
          <cell r="AP1810">
            <v>1333</v>
          </cell>
        </row>
        <row r="1811">
          <cell r="C1811">
            <v>44414</v>
          </cell>
          <cell r="N1811">
            <v>480</v>
          </cell>
          <cell r="O1811">
            <v>150</v>
          </cell>
          <cell r="AP1811">
            <v>1677</v>
          </cell>
        </row>
        <row r="1812">
          <cell r="C1812">
            <v>44414</v>
          </cell>
          <cell r="N1812">
            <v>480</v>
          </cell>
          <cell r="O1812">
            <v>150</v>
          </cell>
          <cell r="AP1812">
            <v>1113</v>
          </cell>
        </row>
        <row r="1813">
          <cell r="C1813">
            <v>44414</v>
          </cell>
          <cell r="N1813">
            <v>480</v>
          </cell>
          <cell r="O1813">
            <v>150</v>
          </cell>
          <cell r="AP1813">
            <v>1455</v>
          </cell>
        </row>
        <row r="1814">
          <cell r="C1814">
            <v>44414</v>
          </cell>
          <cell r="N1814">
            <v>480</v>
          </cell>
          <cell r="O1814">
            <v>150</v>
          </cell>
          <cell r="AP1814">
            <v>1642</v>
          </cell>
        </row>
        <row r="1815">
          <cell r="C1815">
            <v>44414</v>
          </cell>
          <cell r="N1815">
            <v>480</v>
          </cell>
          <cell r="O1815">
            <v>150</v>
          </cell>
          <cell r="AP1815">
            <v>1148</v>
          </cell>
        </row>
        <row r="1816">
          <cell r="C1816">
            <v>44414</v>
          </cell>
          <cell r="N1816">
            <v>480</v>
          </cell>
          <cell r="O1816">
            <v>125</v>
          </cell>
          <cell r="AP1816">
            <v>953</v>
          </cell>
        </row>
        <row r="1817">
          <cell r="C1817">
            <v>44414</v>
          </cell>
          <cell r="N1817">
            <v>480</v>
          </cell>
          <cell r="O1817">
            <v>125</v>
          </cell>
          <cell r="AP1817">
            <v>957</v>
          </cell>
        </row>
        <row r="1818">
          <cell r="C1818">
            <v>44414</v>
          </cell>
          <cell r="N1818">
            <v>480</v>
          </cell>
          <cell r="O1818">
            <v>125</v>
          </cell>
          <cell r="AP1818">
            <v>957</v>
          </cell>
        </row>
        <row r="1819">
          <cell r="C1819">
            <v>44414</v>
          </cell>
          <cell r="N1819">
            <v>480</v>
          </cell>
          <cell r="O1819">
            <v>125</v>
          </cell>
          <cell r="AP1819">
            <v>1110</v>
          </cell>
        </row>
        <row r="1820">
          <cell r="C1820">
            <v>44414</v>
          </cell>
          <cell r="N1820">
            <v>480</v>
          </cell>
          <cell r="O1820">
            <v>125</v>
          </cell>
          <cell r="AP1820">
            <v>952</v>
          </cell>
        </row>
        <row r="1821">
          <cell r="C1821">
            <v>44414</v>
          </cell>
          <cell r="N1821">
            <v>480</v>
          </cell>
          <cell r="O1821">
            <v>125</v>
          </cell>
          <cell r="AP1821">
            <v>957</v>
          </cell>
        </row>
        <row r="1822">
          <cell r="C1822">
            <v>44414</v>
          </cell>
          <cell r="N1822">
            <v>480</v>
          </cell>
          <cell r="O1822">
            <v>125</v>
          </cell>
          <cell r="AP1822">
            <v>957</v>
          </cell>
        </row>
        <row r="1823">
          <cell r="C1823">
            <v>44414</v>
          </cell>
          <cell r="N1823">
            <v>480</v>
          </cell>
          <cell r="O1823">
            <v>125</v>
          </cell>
          <cell r="AP1823">
            <v>1110</v>
          </cell>
        </row>
        <row r="1824">
          <cell r="C1824">
            <v>44414</v>
          </cell>
          <cell r="N1824">
            <v>480</v>
          </cell>
          <cell r="O1824">
            <v>125</v>
          </cell>
          <cell r="AP1824">
            <v>956</v>
          </cell>
        </row>
        <row r="1825">
          <cell r="C1825">
            <v>44414</v>
          </cell>
          <cell r="N1825">
            <v>480</v>
          </cell>
          <cell r="O1825">
            <v>125</v>
          </cell>
          <cell r="AP1825">
            <v>960</v>
          </cell>
        </row>
        <row r="1826">
          <cell r="C1826">
            <v>44414</v>
          </cell>
          <cell r="N1826">
            <v>480</v>
          </cell>
          <cell r="O1826">
            <v>125</v>
          </cell>
          <cell r="AP1826">
            <v>960</v>
          </cell>
        </row>
        <row r="1827">
          <cell r="C1827">
            <v>44414</v>
          </cell>
          <cell r="N1827">
            <v>480</v>
          </cell>
          <cell r="O1827">
            <v>125</v>
          </cell>
          <cell r="AP1827">
            <v>1112</v>
          </cell>
        </row>
        <row r="1828">
          <cell r="C1828">
            <v>44414</v>
          </cell>
          <cell r="N1828">
            <v>480</v>
          </cell>
          <cell r="O1828">
            <v>125</v>
          </cell>
          <cell r="AP1828">
            <v>992</v>
          </cell>
        </row>
        <row r="1829">
          <cell r="C1829">
            <v>44414</v>
          </cell>
          <cell r="N1829">
            <v>480</v>
          </cell>
          <cell r="O1829">
            <v>125</v>
          </cell>
          <cell r="AP1829">
            <v>995</v>
          </cell>
        </row>
        <row r="1830">
          <cell r="C1830">
            <v>44414</v>
          </cell>
          <cell r="N1830">
            <v>480</v>
          </cell>
          <cell r="O1830">
            <v>125</v>
          </cell>
          <cell r="AP1830">
            <v>995</v>
          </cell>
        </row>
        <row r="1831">
          <cell r="C1831">
            <v>44414</v>
          </cell>
          <cell r="N1831">
            <v>480</v>
          </cell>
          <cell r="O1831">
            <v>125</v>
          </cell>
          <cell r="AP1831">
            <v>1153</v>
          </cell>
        </row>
        <row r="1832">
          <cell r="C1832">
            <v>44414</v>
          </cell>
          <cell r="N1832">
            <v>480</v>
          </cell>
          <cell r="O1832">
            <v>125</v>
          </cell>
          <cell r="AP1832">
            <v>900</v>
          </cell>
        </row>
        <row r="1833">
          <cell r="C1833">
            <v>44414</v>
          </cell>
          <cell r="N1833">
            <v>480</v>
          </cell>
          <cell r="O1833">
            <v>125</v>
          </cell>
          <cell r="AP1833">
            <v>900</v>
          </cell>
        </row>
        <row r="1834">
          <cell r="C1834">
            <v>44414</v>
          </cell>
          <cell r="N1834">
            <v>480</v>
          </cell>
          <cell r="O1834">
            <v>125</v>
          </cell>
          <cell r="AP1834">
            <v>897</v>
          </cell>
        </row>
        <row r="1835">
          <cell r="C1835">
            <v>44414</v>
          </cell>
          <cell r="N1835">
            <v>480</v>
          </cell>
          <cell r="O1835">
            <v>125</v>
          </cell>
          <cell r="AP1835">
            <v>1043</v>
          </cell>
        </row>
        <row r="1836">
          <cell r="C1836">
            <v>44414</v>
          </cell>
          <cell r="N1836">
            <v>480</v>
          </cell>
          <cell r="O1836">
            <v>125</v>
          </cell>
          <cell r="AP1836">
            <v>957</v>
          </cell>
        </row>
        <row r="1837">
          <cell r="C1837">
            <v>44414</v>
          </cell>
          <cell r="N1837">
            <v>480</v>
          </cell>
          <cell r="O1837">
            <v>125</v>
          </cell>
          <cell r="AP1837">
            <v>960</v>
          </cell>
        </row>
        <row r="1838">
          <cell r="C1838">
            <v>44414</v>
          </cell>
          <cell r="N1838">
            <v>480</v>
          </cell>
          <cell r="O1838">
            <v>125</v>
          </cell>
          <cell r="AP1838">
            <v>959</v>
          </cell>
        </row>
        <row r="1839">
          <cell r="C1839">
            <v>44414</v>
          </cell>
          <cell r="N1839">
            <v>480</v>
          </cell>
          <cell r="O1839">
            <v>125</v>
          </cell>
          <cell r="AP1839">
            <v>1113</v>
          </cell>
        </row>
        <row r="1840">
          <cell r="C1840">
            <v>44414</v>
          </cell>
          <cell r="N1840">
            <v>480</v>
          </cell>
          <cell r="O1840">
            <v>125</v>
          </cell>
          <cell r="AP1840">
            <v>956</v>
          </cell>
        </row>
        <row r="1841">
          <cell r="C1841">
            <v>44414</v>
          </cell>
          <cell r="N1841">
            <v>480</v>
          </cell>
          <cell r="O1841">
            <v>125</v>
          </cell>
          <cell r="AP1841">
            <v>960</v>
          </cell>
        </row>
        <row r="1842">
          <cell r="C1842">
            <v>44414</v>
          </cell>
          <cell r="N1842">
            <v>480</v>
          </cell>
          <cell r="O1842">
            <v>125</v>
          </cell>
          <cell r="AP1842">
            <v>939</v>
          </cell>
        </row>
        <row r="1843">
          <cell r="C1843">
            <v>44414</v>
          </cell>
          <cell r="N1843">
            <v>480</v>
          </cell>
          <cell r="O1843">
            <v>125</v>
          </cell>
          <cell r="AP1843">
            <v>1111</v>
          </cell>
        </row>
        <row r="1844">
          <cell r="C1844">
            <v>44414</v>
          </cell>
          <cell r="N1844">
            <v>480</v>
          </cell>
          <cell r="O1844">
            <v>125</v>
          </cell>
          <cell r="AP1844">
            <v>926</v>
          </cell>
        </row>
        <row r="1845">
          <cell r="C1845">
            <v>44414</v>
          </cell>
          <cell r="N1845">
            <v>480</v>
          </cell>
          <cell r="O1845">
            <v>125</v>
          </cell>
          <cell r="AP1845">
            <v>930</v>
          </cell>
        </row>
        <row r="1846">
          <cell r="C1846">
            <v>44414</v>
          </cell>
          <cell r="N1846">
            <v>480</v>
          </cell>
          <cell r="O1846">
            <v>125</v>
          </cell>
          <cell r="AP1846">
            <v>928</v>
          </cell>
        </row>
        <row r="1847">
          <cell r="C1847">
            <v>44414</v>
          </cell>
          <cell r="N1847">
            <v>480</v>
          </cell>
          <cell r="O1847">
            <v>125</v>
          </cell>
          <cell r="AP1847">
            <v>1078</v>
          </cell>
        </row>
        <row r="1848">
          <cell r="C1848">
            <v>44414</v>
          </cell>
          <cell r="N1848">
            <v>480</v>
          </cell>
          <cell r="O1848">
            <v>125</v>
          </cell>
          <cell r="AP1848">
            <v>934</v>
          </cell>
        </row>
        <row r="1849">
          <cell r="C1849">
            <v>44414</v>
          </cell>
          <cell r="N1849">
            <v>480</v>
          </cell>
          <cell r="O1849">
            <v>125</v>
          </cell>
          <cell r="AP1849">
            <v>936</v>
          </cell>
        </row>
        <row r="1850">
          <cell r="C1850">
            <v>44414</v>
          </cell>
          <cell r="N1850">
            <v>480</v>
          </cell>
          <cell r="O1850">
            <v>125</v>
          </cell>
          <cell r="AP1850">
            <v>935</v>
          </cell>
        </row>
        <row r="1851">
          <cell r="C1851">
            <v>44414</v>
          </cell>
          <cell r="N1851">
            <v>480</v>
          </cell>
          <cell r="O1851">
            <v>125</v>
          </cell>
          <cell r="AP1851">
            <v>1090</v>
          </cell>
        </row>
        <row r="1852">
          <cell r="C1852">
            <v>44414</v>
          </cell>
          <cell r="N1852">
            <v>480</v>
          </cell>
          <cell r="O1852">
            <v>125</v>
          </cell>
          <cell r="AP1852">
            <v>934</v>
          </cell>
        </row>
        <row r="1853">
          <cell r="C1853">
            <v>44414</v>
          </cell>
          <cell r="N1853">
            <v>480</v>
          </cell>
          <cell r="O1853">
            <v>125</v>
          </cell>
          <cell r="AP1853">
            <v>937</v>
          </cell>
        </row>
        <row r="1854">
          <cell r="C1854">
            <v>44414</v>
          </cell>
          <cell r="N1854">
            <v>480</v>
          </cell>
          <cell r="O1854">
            <v>125</v>
          </cell>
          <cell r="AP1854">
            <v>937</v>
          </cell>
        </row>
        <row r="1855">
          <cell r="C1855">
            <v>44414</v>
          </cell>
          <cell r="N1855">
            <v>480</v>
          </cell>
          <cell r="O1855">
            <v>125</v>
          </cell>
          <cell r="AP1855">
            <v>1093</v>
          </cell>
        </row>
        <row r="1856">
          <cell r="C1856">
            <v>44414</v>
          </cell>
          <cell r="N1856">
            <v>485</v>
          </cell>
          <cell r="O1856">
            <v>125</v>
          </cell>
          <cell r="AP1856">
            <v>1002</v>
          </cell>
        </row>
        <row r="1857">
          <cell r="C1857">
            <v>44414</v>
          </cell>
          <cell r="N1857">
            <v>485</v>
          </cell>
          <cell r="O1857">
            <v>125</v>
          </cell>
          <cell r="AP1857">
            <v>965</v>
          </cell>
        </row>
        <row r="1858">
          <cell r="C1858">
            <v>44414</v>
          </cell>
          <cell r="N1858">
            <v>485</v>
          </cell>
          <cell r="O1858">
            <v>125</v>
          </cell>
          <cell r="AP1858">
            <v>966</v>
          </cell>
        </row>
        <row r="1859">
          <cell r="C1859">
            <v>44414</v>
          </cell>
          <cell r="N1859">
            <v>485</v>
          </cell>
          <cell r="O1859">
            <v>125</v>
          </cell>
          <cell r="AP1859">
            <v>1124</v>
          </cell>
        </row>
        <row r="1860">
          <cell r="C1860">
            <v>44414</v>
          </cell>
          <cell r="N1860">
            <v>485</v>
          </cell>
          <cell r="O1860">
            <v>125</v>
          </cell>
          <cell r="AP1860">
            <v>930</v>
          </cell>
        </row>
        <row r="1861">
          <cell r="C1861">
            <v>44414</v>
          </cell>
          <cell r="N1861">
            <v>485</v>
          </cell>
          <cell r="O1861">
            <v>125</v>
          </cell>
          <cell r="AP1861">
            <v>893</v>
          </cell>
        </row>
        <row r="1862">
          <cell r="C1862">
            <v>44414</v>
          </cell>
          <cell r="N1862">
            <v>485</v>
          </cell>
          <cell r="O1862">
            <v>125</v>
          </cell>
          <cell r="AP1862">
            <v>894</v>
          </cell>
        </row>
        <row r="1863">
          <cell r="C1863">
            <v>44414</v>
          </cell>
          <cell r="N1863">
            <v>485</v>
          </cell>
          <cell r="O1863">
            <v>125</v>
          </cell>
          <cell r="AP1863">
            <v>1041</v>
          </cell>
        </row>
        <row r="1864">
          <cell r="C1864">
            <v>44414</v>
          </cell>
          <cell r="N1864">
            <v>485</v>
          </cell>
          <cell r="O1864">
            <v>125</v>
          </cell>
          <cell r="AP1864">
            <v>980</v>
          </cell>
        </row>
        <row r="1865">
          <cell r="C1865">
            <v>44414</v>
          </cell>
          <cell r="N1865">
            <v>485</v>
          </cell>
          <cell r="O1865">
            <v>125</v>
          </cell>
          <cell r="AP1865">
            <v>939</v>
          </cell>
        </row>
        <row r="1866">
          <cell r="C1866">
            <v>44414</v>
          </cell>
          <cell r="N1866">
            <v>485</v>
          </cell>
          <cell r="O1866">
            <v>125</v>
          </cell>
          <cell r="AP1866">
            <v>941</v>
          </cell>
        </row>
        <row r="1867">
          <cell r="C1867">
            <v>44414</v>
          </cell>
          <cell r="N1867">
            <v>485</v>
          </cell>
          <cell r="O1867">
            <v>125</v>
          </cell>
          <cell r="AP1867">
            <v>1096</v>
          </cell>
        </row>
        <row r="1868">
          <cell r="C1868">
            <v>44414</v>
          </cell>
          <cell r="N1868">
            <v>485</v>
          </cell>
          <cell r="O1868">
            <v>125</v>
          </cell>
          <cell r="AP1868">
            <v>980</v>
          </cell>
        </row>
        <row r="1869">
          <cell r="C1869">
            <v>44414</v>
          </cell>
          <cell r="N1869">
            <v>485</v>
          </cell>
          <cell r="O1869">
            <v>125</v>
          </cell>
          <cell r="AP1869">
            <v>942</v>
          </cell>
        </row>
        <row r="1870">
          <cell r="C1870">
            <v>44414</v>
          </cell>
          <cell r="N1870">
            <v>485</v>
          </cell>
          <cell r="O1870">
            <v>125</v>
          </cell>
          <cell r="AP1870">
            <v>943</v>
          </cell>
        </row>
        <row r="1871">
          <cell r="C1871">
            <v>44414</v>
          </cell>
          <cell r="N1871">
            <v>485</v>
          </cell>
          <cell r="O1871">
            <v>125</v>
          </cell>
          <cell r="AP1871">
            <v>1097</v>
          </cell>
        </row>
        <row r="1872">
          <cell r="C1872">
            <v>44414</v>
          </cell>
          <cell r="N1872">
            <v>485</v>
          </cell>
          <cell r="O1872">
            <v>125</v>
          </cell>
          <cell r="AP1872">
            <v>880</v>
          </cell>
        </row>
        <row r="1873">
          <cell r="C1873">
            <v>44414</v>
          </cell>
          <cell r="N1873">
            <v>485</v>
          </cell>
          <cell r="O1873">
            <v>125</v>
          </cell>
          <cell r="AP1873">
            <v>820</v>
          </cell>
        </row>
        <row r="1874">
          <cell r="C1874">
            <v>44414</v>
          </cell>
          <cell r="N1874">
            <v>485</v>
          </cell>
          <cell r="O1874">
            <v>125</v>
          </cell>
          <cell r="AP1874">
            <v>804</v>
          </cell>
        </row>
        <row r="1875">
          <cell r="C1875">
            <v>44414</v>
          </cell>
          <cell r="N1875">
            <v>485</v>
          </cell>
          <cell r="O1875">
            <v>125</v>
          </cell>
          <cell r="AP1875">
            <v>985</v>
          </cell>
        </row>
        <row r="1876">
          <cell r="C1876">
            <v>44414</v>
          </cell>
          <cell r="N1876">
            <v>485</v>
          </cell>
          <cell r="O1876">
            <v>115</v>
          </cell>
          <cell r="AP1876">
            <v>1328</v>
          </cell>
        </row>
        <row r="1877">
          <cell r="C1877">
            <v>44414</v>
          </cell>
          <cell r="N1877">
            <v>485</v>
          </cell>
          <cell r="O1877">
            <v>115</v>
          </cell>
          <cell r="AP1877">
            <v>1336</v>
          </cell>
        </row>
        <row r="1878">
          <cell r="C1878">
            <v>44414</v>
          </cell>
          <cell r="N1878">
            <v>485</v>
          </cell>
          <cell r="O1878">
            <v>115</v>
          </cell>
          <cell r="AP1878">
            <v>1361</v>
          </cell>
        </row>
        <row r="1879">
          <cell r="C1879">
            <v>44414</v>
          </cell>
          <cell r="N1879">
            <v>485</v>
          </cell>
          <cell r="O1879">
            <v>115</v>
          </cell>
          <cell r="AP1879">
            <v>1328</v>
          </cell>
        </row>
        <row r="1880">
          <cell r="C1880">
            <v>44414</v>
          </cell>
          <cell r="N1880">
            <v>485</v>
          </cell>
          <cell r="O1880">
            <v>115</v>
          </cell>
          <cell r="AP1880">
            <v>1336</v>
          </cell>
        </row>
        <row r="1881">
          <cell r="C1881">
            <v>44414</v>
          </cell>
          <cell r="N1881">
            <v>485</v>
          </cell>
          <cell r="O1881">
            <v>115</v>
          </cell>
          <cell r="AP1881">
            <v>1363</v>
          </cell>
        </row>
        <row r="1882">
          <cell r="C1882">
            <v>44414</v>
          </cell>
          <cell r="N1882">
            <v>485</v>
          </cell>
          <cell r="O1882">
            <v>115</v>
          </cell>
          <cell r="AP1882">
            <v>1295</v>
          </cell>
        </row>
        <row r="1883">
          <cell r="C1883">
            <v>44414</v>
          </cell>
          <cell r="N1883">
            <v>485</v>
          </cell>
          <cell r="O1883">
            <v>115</v>
          </cell>
          <cell r="AP1883">
            <v>1301</v>
          </cell>
        </row>
        <row r="1884">
          <cell r="C1884">
            <v>44414</v>
          </cell>
          <cell r="N1884">
            <v>485</v>
          </cell>
          <cell r="O1884">
            <v>115</v>
          </cell>
          <cell r="AP1884">
            <v>1329</v>
          </cell>
        </row>
        <row r="1885">
          <cell r="C1885">
            <v>44414</v>
          </cell>
          <cell r="N1885">
            <v>485</v>
          </cell>
          <cell r="O1885">
            <v>115</v>
          </cell>
          <cell r="AP1885">
            <v>1289</v>
          </cell>
        </row>
        <row r="1886">
          <cell r="C1886">
            <v>44414</v>
          </cell>
          <cell r="N1886">
            <v>485</v>
          </cell>
          <cell r="O1886">
            <v>115</v>
          </cell>
          <cell r="AP1886">
            <v>1295</v>
          </cell>
        </row>
        <row r="1887">
          <cell r="C1887">
            <v>44414</v>
          </cell>
          <cell r="N1887">
            <v>485</v>
          </cell>
          <cell r="O1887">
            <v>115</v>
          </cell>
          <cell r="AP1887">
            <v>1323</v>
          </cell>
        </row>
        <row r="1888">
          <cell r="C1888">
            <v>44414</v>
          </cell>
          <cell r="N1888">
            <v>485</v>
          </cell>
          <cell r="O1888">
            <v>115</v>
          </cell>
          <cell r="AP1888">
            <v>1297</v>
          </cell>
        </row>
        <row r="1889">
          <cell r="C1889">
            <v>44414</v>
          </cell>
          <cell r="N1889">
            <v>485</v>
          </cell>
          <cell r="O1889">
            <v>115</v>
          </cell>
          <cell r="AP1889">
            <v>1307</v>
          </cell>
        </row>
        <row r="1890">
          <cell r="C1890">
            <v>44414</v>
          </cell>
          <cell r="N1890">
            <v>485</v>
          </cell>
          <cell r="O1890">
            <v>115</v>
          </cell>
          <cell r="AP1890">
            <v>1300</v>
          </cell>
        </row>
        <row r="1891">
          <cell r="C1891">
            <v>44414</v>
          </cell>
          <cell r="N1891">
            <v>485</v>
          </cell>
          <cell r="O1891">
            <v>115</v>
          </cell>
          <cell r="AP1891">
            <v>1344</v>
          </cell>
        </row>
        <row r="1892">
          <cell r="C1892">
            <v>44414</v>
          </cell>
          <cell r="N1892">
            <v>485</v>
          </cell>
          <cell r="O1892">
            <v>115</v>
          </cell>
          <cell r="AP1892">
            <v>1190</v>
          </cell>
        </row>
        <row r="1893">
          <cell r="C1893">
            <v>44414</v>
          </cell>
          <cell r="N1893">
            <v>485</v>
          </cell>
          <cell r="O1893">
            <v>115</v>
          </cell>
          <cell r="AP1893">
            <v>1415</v>
          </cell>
        </row>
        <row r="1894">
          <cell r="C1894">
            <v>44414</v>
          </cell>
          <cell r="N1894">
            <v>485</v>
          </cell>
          <cell r="O1894">
            <v>115</v>
          </cell>
          <cell r="AP1894">
            <v>1408</v>
          </cell>
        </row>
        <row r="1895">
          <cell r="C1895">
            <v>44414</v>
          </cell>
          <cell r="N1895">
            <v>485</v>
          </cell>
          <cell r="O1895">
            <v>115</v>
          </cell>
          <cell r="AP1895">
            <v>1247</v>
          </cell>
        </row>
        <row r="1896">
          <cell r="C1896">
            <v>44414</v>
          </cell>
          <cell r="N1896">
            <v>485</v>
          </cell>
          <cell r="O1896">
            <v>115</v>
          </cell>
          <cell r="AP1896">
            <v>1489</v>
          </cell>
        </row>
        <row r="1897">
          <cell r="C1897">
            <v>44414</v>
          </cell>
          <cell r="N1897">
            <v>475</v>
          </cell>
          <cell r="O1897">
            <v>115</v>
          </cell>
          <cell r="AP1897">
            <v>1431</v>
          </cell>
        </row>
        <row r="1898">
          <cell r="C1898">
            <v>44414</v>
          </cell>
          <cell r="N1898">
            <v>475</v>
          </cell>
          <cell r="O1898">
            <v>115</v>
          </cell>
          <cell r="AP1898">
            <v>1101</v>
          </cell>
        </row>
        <row r="1899">
          <cell r="C1899">
            <v>44414</v>
          </cell>
          <cell r="N1899">
            <v>475</v>
          </cell>
          <cell r="O1899">
            <v>115</v>
          </cell>
          <cell r="AP1899">
            <v>1465</v>
          </cell>
        </row>
        <row r="1900">
          <cell r="C1900">
            <v>44414</v>
          </cell>
          <cell r="N1900">
            <v>475</v>
          </cell>
          <cell r="O1900">
            <v>115</v>
          </cell>
          <cell r="AP1900">
            <v>1449</v>
          </cell>
        </row>
        <row r="1901">
          <cell r="C1901">
            <v>44414</v>
          </cell>
          <cell r="N1901">
            <v>475</v>
          </cell>
          <cell r="O1901">
            <v>115</v>
          </cell>
          <cell r="AP1901">
            <v>1114</v>
          </cell>
        </row>
        <row r="1902">
          <cell r="C1902">
            <v>44414</v>
          </cell>
          <cell r="N1902">
            <v>475</v>
          </cell>
          <cell r="O1902">
            <v>115</v>
          </cell>
          <cell r="AP1902">
            <v>1484</v>
          </cell>
        </row>
        <row r="1903">
          <cell r="C1903">
            <v>44414</v>
          </cell>
          <cell r="N1903">
            <v>475</v>
          </cell>
          <cell r="O1903">
            <v>115</v>
          </cell>
          <cell r="AP1903">
            <v>1466</v>
          </cell>
        </row>
        <row r="1904">
          <cell r="C1904">
            <v>44414</v>
          </cell>
          <cell r="N1904">
            <v>475</v>
          </cell>
          <cell r="O1904">
            <v>115</v>
          </cell>
          <cell r="AP1904">
            <v>1124</v>
          </cell>
        </row>
        <row r="1905">
          <cell r="C1905">
            <v>44414</v>
          </cell>
          <cell r="N1905">
            <v>475</v>
          </cell>
          <cell r="O1905">
            <v>115</v>
          </cell>
          <cell r="AP1905">
            <v>1492</v>
          </cell>
        </row>
        <row r="1906">
          <cell r="C1906">
            <v>44414</v>
          </cell>
          <cell r="N1906">
            <v>485</v>
          </cell>
          <cell r="O1906">
            <v>115</v>
          </cell>
          <cell r="AP1906">
            <v>1422</v>
          </cell>
        </row>
        <row r="1907">
          <cell r="C1907">
            <v>44414</v>
          </cell>
          <cell r="N1907">
            <v>485</v>
          </cell>
          <cell r="O1907">
            <v>115</v>
          </cell>
          <cell r="AP1907">
            <v>870</v>
          </cell>
        </row>
        <row r="1908">
          <cell r="C1908">
            <v>44414</v>
          </cell>
          <cell r="N1908">
            <v>485</v>
          </cell>
          <cell r="O1908">
            <v>115</v>
          </cell>
          <cell r="AP1908">
            <v>953</v>
          </cell>
        </row>
        <row r="1909">
          <cell r="C1909">
            <v>44414</v>
          </cell>
          <cell r="N1909">
            <v>485</v>
          </cell>
          <cell r="O1909">
            <v>115</v>
          </cell>
          <cell r="AP1909">
            <v>942</v>
          </cell>
        </row>
        <row r="1910">
          <cell r="C1910">
            <v>44414</v>
          </cell>
          <cell r="N1910">
            <v>485</v>
          </cell>
          <cell r="O1910">
            <v>115</v>
          </cell>
          <cell r="AP1910">
            <v>1152</v>
          </cell>
        </row>
        <row r="1911">
          <cell r="C1911">
            <v>44414</v>
          </cell>
          <cell r="N1911">
            <v>485</v>
          </cell>
          <cell r="O1911">
            <v>115</v>
          </cell>
          <cell r="AP1911">
            <v>710</v>
          </cell>
        </row>
        <row r="1912">
          <cell r="C1912">
            <v>44414</v>
          </cell>
          <cell r="N1912">
            <v>485</v>
          </cell>
          <cell r="O1912">
            <v>115</v>
          </cell>
          <cell r="AP1912">
            <v>779</v>
          </cell>
        </row>
        <row r="1913">
          <cell r="C1913">
            <v>44414</v>
          </cell>
          <cell r="N1913">
            <v>485</v>
          </cell>
          <cell r="O1913">
            <v>115</v>
          </cell>
          <cell r="AP1913">
            <v>759</v>
          </cell>
        </row>
        <row r="1914">
          <cell r="C1914">
            <v>44414</v>
          </cell>
          <cell r="N1914">
            <v>485</v>
          </cell>
          <cell r="O1914">
            <v>100</v>
          </cell>
          <cell r="AP1914">
            <v>1202</v>
          </cell>
        </row>
        <row r="1915">
          <cell r="C1915">
            <v>44414</v>
          </cell>
          <cell r="N1915">
            <v>485</v>
          </cell>
          <cell r="O1915">
            <v>100</v>
          </cell>
          <cell r="AP1915">
            <v>1608</v>
          </cell>
        </row>
        <row r="1916">
          <cell r="C1916">
            <v>44414</v>
          </cell>
          <cell r="N1916">
            <v>485</v>
          </cell>
          <cell r="O1916">
            <v>100</v>
          </cell>
          <cell r="AP1916">
            <v>1069</v>
          </cell>
        </row>
        <row r="1917">
          <cell r="C1917">
            <v>44414</v>
          </cell>
          <cell r="N1917">
            <v>485</v>
          </cell>
          <cell r="O1917">
            <v>100</v>
          </cell>
          <cell r="AP1917">
            <v>1197</v>
          </cell>
        </row>
        <row r="1918">
          <cell r="C1918">
            <v>44414</v>
          </cell>
          <cell r="N1918">
            <v>485</v>
          </cell>
          <cell r="O1918">
            <v>100</v>
          </cell>
          <cell r="AP1918">
            <v>1602</v>
          </cell>
        </row>
        <row r="1919">
          <cell r="C1919">
            <v>44414</v>
          </cell>
          <cell r="N1919">
            <v>485</v>
          </cell>
          <cell r="O1919">
            <v>100</v>
          </cell>
          <cell r="AP1919">
            <v>1064</v>
          </cell>
        </row>
        <row r="1920">
          <cell r="C1920">
            <v>44414</v>
          </cell>
          <cell r="N1920">
            <v>485</v>
          </cell>
          <cell r="O1920">
            <v>100</v>
          </cell>
          <cell r="AP1920">
            <v>1206</v>
          </cell>
        </row>
        <row r="1921">
          <cell r="C1921">
            <v>44414</v>
          </cell>
          <cell r="N1921">
            <v>485</v>
          </cell>
          <cell r="O1921">
            <v>100</v>
          </cell>
          <cell r="AP1921">
            <v>1618</v>
          </cell>
        </row>
        <row r="1922">
          <cell r="C1922">
            <v>44414</v>
          </cell>
          <cell r="N1922">
            <v>485</v>
          </cell>
          <cell r="O1922">
            <v>100</v>
          </cell>
          <cell r="AP1922">
            <v>1074</v>
          </cell>
        </row>
        <row r="1923">
          <cell r="C1923">
            <v>44414</v>
          </cell>
          <cell r="N1923">
            <v>485</v>
          </cell>
          <cell r="O1923">
            <v>100</v>
          </cell>
          <cell r="AP1923">
            <v>1192</v>
          </cell>
        </row>
        <row r="1924">
          <cell r="C1924">
            <v>44414</v>
          </cell>
          <cell r="N1924">
            <v>485</v>
          </cell>
          <cell r="O1924">
            <v>100</v>
          </cell>
          <cell r="AP1924">
            <v>1601</v>
          </cell>
        </row>
        <row r="1925">
          <cell r="C1925">
            <v>44414</v>
          </cell>
          <cell r="N1925">
            <v>485</v>
          </cell>
          <cell r="O1925">
            <v>100</v>
          </cell>
          <cell r="AP1925">
            <v>1060</v>
          </cell>
        </row>
        <row r="1926">
          <cell r="C1926">
            <v>44414</v>
          </cell>
          <cell r="N1926">
            <v>485</v>
          </cell>
          <cell r="O1926">
            <v>100</v>
          </cell>
          <cell r="AP1926">
            <v>1215</v>
          </cell>
        </row>
        <row r="1927">
          <cell r="C1927">
            <v>44414</v>
          </cell>
          <cell r="N1927">
            <v>485</v>
          </cell>
          <cell r="O1927">
            <v>100</v>
          </cell>
          <cell r="AP1927">
            <v>1632</v>
          </cell>
        </row>
        <row r="1928">
          <cell r="C1928">
            <v>44414</v>
          </cell>
          <cell r="N1928">
            <v>485</v>
          </cell>
          <cell r="O1928">
            <v>100</v>
          </cell>
          <cell r="AP1928">
            <v>1081</v>
          </cell>
        </row>
        <row r="1929">
          <cell r="C1929">
            <v>44414</v>
          </cell>
          <cell r="N1929">
            <v>485</v>
          </cell>
          <cell r="O1929">
            <v>100</v>
          </cell>
          <cell r="AP1929">
            <v>1260</v>
          </cell>
        </row>
        <row r="1930">
          <cell r="C1930">
            <v>44414</v>
          </cell>
          <cell r="N1930">
            <v>485</v>
          </cell>
          <cell r="O1930">
            <v>100</v>
          </cell>
          <cell r="AP1930">
            <v>1689</v>
          </cell>
        </row>
        <row r="1931">
          <cell r="C1931">
            <v>44414</v>
          </cell>
          <cell r="N1931">
            <v>485</v>
          </cell>
          <cell r="O1931">
            <v>100</v>
          </cell>
          <cell r="AP1931">
            <v>1123</v>
          </cell>
        </row>
        <row r="1932">
          <cell r="C1932">
            <v>44414</v>
          </cell>
          <cell r="N1932">
            <v>485</v>
          </cell>
          <cell r="O1932">
            <v>100</v>
          </cell>
          <cell r="AP1932">
            <v>1187</v>
          </cell>
        </row>
        <row r="1933">
          <cell r="C1933">
            <v>44414</v>
          </cell>
          <cell r="N1933">
            <v>485</v>
          </cell>
          <cell r="O1933">
            <v>100</v>
          </cell>
          <cell r="AP1933">
            <v>1591</v>
          </cell>
        </row>
        <row r="1934">
          <cell r="C1934">
            <v>44414</v>
          </cell>
          <cell r="N1934">
            <v>485</v>
          </cell>
          <cell r="O1934">
            <v>100</v>
          </cell>
          <cell r="AP1934">
            <v>1058</v>
          </cell>
        </row>
        <row r="1935">
          <cell r="C1935">
            <v>44414</v>
          </cell>
          <cell r="N1935">
            <v>485</v>
          </cell>
          <cell r="O1935">
            <v>100</v>
          </cell>
          <cell r="AP1935">
            <v>1187</v>
          </cell>
        </row>
        <row r="1936">
          <cell r="C1936">
            <v>44414</v>
          </cell>
          <cell r="N1936">
            <v>485</v>
          </cell>
          <cell r="O1936">
            <v>100</v>
          </cell>
          <cell r="AP1936">
            <v>1589</v>
          </cell>
        </row>
        <row r="1937">
          <cell r="C1937">
            <v>44414</v>
          </cell>
          <cell r="N1937">
            <v>485</v>
          </cell>
          <cell r="O1937">
            <v>100</v>
          </cell>
          <cell r="AP1937">
            <v>1058</v>
          </cell>
        </row>
        <row r="1938">
          <cell r="C1938">
            <v>44414</v>
          </cell>
          <cell r="N1938">
            <v>485</v>
          </cell>
          <cell r="O1938">
            <v>100</v>
          </cell>
          <cell r="AP1938">
            <v>1167</v>
          </cell>
        </row>
        <row r="1939">
          <cell r="C1939">
            <v>44414</v>
          </cell>
          <cell r="N1939">
            <v>485</v>
          </cell>
          <cell r="O1939">
            <v>100</v>
          </cell>
          <cell r="AP1939">
            <v>1563</v>
          </cell>
        </row>
        <row r="1940">
          <cell r="C1940">
            <v>44414</v>
          </cell>
          <cell r="N1940">
            <v>485</v>
          </cell>
          <cell r="O1940">
            <v>100</v>
          </cell>
          <cell r="AP1940">
            <v>1040</v>
          </cell>
        </row>
        <row r="1941">
          <cell r="C1941">
            <v>44414</v>
          </cell>
          <cell r="N1941">
            <v>485</v>
          </cell>
          <cell r="O1941">
            <v>100</v>
          </cell>
          <cell r="AP1941">
            <v>1187</v>
          </cell>
        </row>
        <row r="1942">
          <cell r="C1942">
            <v>44414</v>
          </cell>
          <cell r="N1942">
            <v>485</v>
          </cell>
          <cell r="O1942">
            <v>100</v>
          </cell>
          <cell r="AP1942">
            <v>1589</v>
          </cell>
        </row>
        <row r="1943">
          <cell r="C1943">
            <v>44414</v>
          </cell>
          <cell r="N1943">
            <v>485</v>
          </cell>
          <cell r="O1943">
            <v>100</v>
          </cell>
          <cell r="AP1943">
            <v>1057</v>
          </cell>
        </row>
        <row r="1944">
          <cell r="C1944">
            <v>44414</v>
          </cell>
          <cell r="N1944">
            <v>485</v>
          </cell>
          <cell r="O1944">
            <v>100</v>
          </cell>
          <cell r="AP1944">
            <v>1194</v>
          </cell>
        </row>
        <row r="1945">
          <cell r="C1945">
            <v>44414</v>
          </cell>
          <cell r="N1945">
            <v>485</v>
          </cell>
          <cell r="O1945">
            <v>100</v>
          </cell>
          <cell r="AP1945">
            <v>1600</v>
          </cell>
        </row>
        <row r="1946">
          <cell r="C1946">
            <v>44414</v>
          </cell>
          <cell r="N1946">
            <v>485</v>
          </cell>
          <cell r="O1946">
            <v>100</v>
          </cell>
          <cell r="AP1946">
            <v>1064</v>
          </cell>
        </row>
        <row r="1947">
          <cell r="C1947">
            <v>44414</v>
          </cell>
          <cell r="N1947">
            <v>485</v>
          </cell>
          <cell r="O1947">
            <v>100</v>
          </cell>
          <cell r="AP1947">
            <v>1088</v>
          </cell>
        </row>
        <row r="1948">
          <cell r="C1948">
            <v>44414</v>
          </cell>
          <cell r="N1948">
            <v>485</v>
          </cell>
          <cell r="O1948">
            <v>100</v>
          </cell>
          <cell r="AP1948">
            <v>1462</v>
          </cell>
        </row>
        <row r="1949">
          <cell r="C1949">
            <v>44414</v>
          </cell>
          <cell r="N1949">
            <v>485</v>
          </cell>
          <cell r="O1949">
            <v>100</v>
          </cell>
          <cell r="AP1949">
            <v>972</v>
          </cell>
        </row>
        <row r="1950">
          <cell r="C1950">
            <v>44415</v>
          </cell>
          <cell r="N1950">
            <v>485</v>
          </cell>
          <cell r="O1950">
            <v>100</v>
          </cell>
          <cell r="AP1950">
            <v>1172</v>
          </cell>
        </row>
        <row r="1951">
          <cell r="C1951">
            <v>44415</v>
          </cell>
          <cell r="N1951">
            <v>485</v>
          </cell>
          <cell r="O1951">
            <v>100</v>
          </cell>
          <cell r="AP1951">
            <v>1568</v>
          </cell>
        </row>
        <row r="1952">
          <cell r="C1952">
            <v>44415</v>
          </cell>
          <cell r="N1952">
            <v>485</v>
          </cell>
          <cell r="O1952">
            <v>100</v>
          </cell>
          <cell r="AP1952">
            <v>1045</v>
          </cell>
        </row>
        <row r="1953">
          <cell r="C1953">
            <v>44415</v>
          </cell>
          <cell r="N1953">
            <v>485</v>
          </cell>
          <cell r="O1953">
            <v>100</v>
          </cell>
          <cell r="AP1953">
            <v>1240</v>
          </cell>
        </row>
        <row r="1954">
          <cell r="C1954">
            <v>44415</v>
          </cell>
          <cell r="N1954">
            <v>485</v>
          </cell>
          <cell r="O1954">
            <v>100</v>
          </cell>
          <cell r="AP1954">
            <v>1514</v>
          </cell>
        </row>
        <row r="1955">
          <cell r="C1955">
            <v>44415</v>
          </cell>
          <cell r="N1955">
            <v>485</v>
          </cell>
          <cell r="O1955">
            <v>100</v>
          </cell>
          <cell r="AP1955">
            <v>999</v>
          </cell>
        </row>
        <row r="1956">
          <cell r="C1956">
            <v>44415</v>
          </cell>
          <cell r="N1956">
            <v>485</v>
          </cell>
          <cell r="O1956">
            <v>100</v>
          </cell>
          <cell r="AP1956">
            <v>1263</v>
          </cell>
        </row>
        <row r="1957">
          <cell r="C1957">
            <v>44415</v>
          </cell>
          <cell r="N1957">
            <v>485</v>
          </cell>
          <cell r="O1957">
            <v>100</v>
          </cell>
          <cell r="AP1957">
            <v>1542</v>
          </cell>
        </row>
        <row r="1958">
          <cell r="C1958">
            <v>44415</v>
          </cell>
          <cell r="N1958">
            <v>485</v>
          </cell>
          <cell r="O1958">
            <v>100</v>
          </cell>
          <cell r="AP1958">
            <v>1020</v>
          </cell>
        </row>
        <row r="1959">
          <cell r="C1959">
            <v>44415</v>
          </cell>
          <cell r="N1959">
            <v>485</v>
          </cell>
          <cell r="O1959">
            <v>100</v>
          </cell>
          <cell r="AP1959">
            <v>1266</v>
          </cell>
        </row>
        <row r="1960">
          <cell r="C1960">
            <v>44415</v>
          </cell>
          <cell r="N1960">
            <v>485</v>
          </cell>
          <cell r="O1960">
            <v>100</v>
          </cell>
          <cell r="AP1960">
            <v>1548</v>
          </cell>
        </row>
        <row r="1961">
          <cell r="C1961">
            <v>44415</v>
          </cell>
          <cell r="N1961">
            <v>485</v>
          </cell>
          <cell r="O1961">
            <v>100</v>
          </cell>
          <cell r="AP1961">
            <v>1021</v>
          </cell>
        </row>
        <row r="1962">
          <cell r="C1962">
            <v>44415</v>
          </cell>
          <cell r="N1962">
            <v>485</v>
          </cell>
          <cell r="O1962">
            <v>100</v>
          </cell>
          <cell r="AP1962">
            <v>1256</v>
          </cell>
        </row>
        <row r="1963">
          <cell r="C1963">
            <v>44415</v>
          </cell>
          <cell r="N1963">
            <v>485</v>
          </cell>
          <cell r="O1963">
            <v>100</v>
          </cell>
          <cell r="AP1963">
            <v>1541</v>
          </cell>
        </row>
        <row r="1964">
          <cell r="C1964">
            <v>44415</v>
          </cell>
          <cell r="N1964">
            <v>485</v>
          </cell>
          <cell r="O1964">
            <v>100</v>
          </cell>
          <cell r="AP1964">
            <v>1011</v>
          </cell>
        </row>
        <row r="1965">
          <cell r="C1965">
            <v>44415</v>
          </cell>
          <cell r="N1965">
            <v>485</v>
          </cell>
          <cell r="O1965">
            <v>100</v>
          </cell>
          <cell r="AP1965">
            <v>1373</v>
          </cell>
        </row>
        <row r="1966">
          <cell r="C1966">
            <v>44415</v>
          </cell>
          <cell r="N1966">
            <v>485</v>
          </cell>
          <cell r="O1966">
            <v>100</v>
          </cell>
          <cell r="AP1966">
            <v>1686</v>
          </cell>
        </row>
        <row r="1967">
          <cell r="C1967">
            <v>44415</v>
          </cell>
          <cell r="N1967">
            <v>485</v>
          </cell>
          <cell r="O1967">
            <v>100</v>
          </cell>
          <cell r="AP1967">
            <v>1107</v>
          </cell>
        </row>
        <row r="1968">
          <cell r="C1968">
            <v>44415</v>
          </cell>
          <cell r="N1968">
            <v>485</v>
          </cell>
          <cell r="O1968">
            <v>100</v>
          </cell>
          <cell r="AP1968">
            <v>1312</v>
          </cell>
        </row>
        <row r="1969">
          <cell r="C1969">
            <v>44415</v>
          </cell>
          <cell r="N1969">
            <v>485</v>
          </cell>
          <cell r="O1969">
            <v>100</v>
          </cell>
          <cell r="AP1969">
            <v>1612</v>
          </cell>
        </row>
        <row r="1970">
          <cell r="C1970">
            <v>44415</v>
          </cell>
          <cell r="N1970">
            <v>485</v>
          </cell>
          <cell r="O1970">
            <v>100</v>
          </cell>
          <cell r="AP1970">
            <v>1061</v>
          </cell>
        </row>
        <row r="1971">
          <cell r="C1971">
            <v>44415</v>
          </cell>
          <cell r="N1971">
            <v>485</v>
          </cell>
          <cell r="O1971">
            <v>100</v>
          </cell>
          <cell r="AP1971">
            <v>1329</v>
          </cell>
        </row>
        <row r="1972">
          <cell r="C1972">
            <v>44415</v>
          </cell>
          <cell r="N1972">
            <v>485</v>
          </cell>
          <cell r="O1972">
            <v>100</v>
          </cell>
          <cell r="AP1972">
            <v>1631</v>
          </cell>
        </row>
        <row r="1973">
          <cell r="C1973">
            <v>44415</v>
          </cell>
          <cell r="N1973">
            <v>485</v>
          </cell>
          <cell r="O1973">
            <v>100</v>
          </cell>
          <cell r="AP1973">
            <v>1069</v>
          </cell>
        </row>
        <row r="1974">
          <cell r="C1974">
            <v>44415</v>
          </cell>
          <cell r="N1974">
            <v>485</v>
          </cell>
          <cell r="O1974">
            <v>100</v>
          </cell>
          <cell r="AP1974">
            <v>1314</v>
          </cell>
        </row>
        <row r="1975">
          <cell r="C1975">
            <v>44415</v>
          </cell>
          <cell r="N1975">
            <v>485</v>
          </cell>
          <cell r="O1975">
            <v>100</v>
          </cell>
          <cell r="AP1975">
            <v>1613</v>
          </cell>
        </row>
        <row r="1976">
          <cell r="C1976">
            <v>44415</v>
          </cell>
          <cell r="N1976">
            <v>485</v>
          </cell>
          <cell r="O1976">
            <v>100</v>
          </cell>
          <cell r="AP1976">
            <v>1058</v>
          </cell>
        </row>
        <row r="1977">
          <cell r="C1977">
            <v>44414</v>
          </cell>
          <cell r="N1977">
            <v>485</v>
          </cell>
          <cell r="O1977">
            <v>100</v>
          </cell>
          <cell r="AP1977">
            <v>1278</v>
          </cell>
        </row>
        <row r="1978">
          <cell r="C1978">
            <v>44414</v>
          </cell>
          <cell r="N1978">
            <v>485</v>
          </cell>
          <cell r="O1978">
            <v>100</v>
          </cell>
          <cell r="AP1978">
            <v>1566</v>
          </cell>
        </row>
        <row r="1979">
          <cell r="C1979">
            <v>44414</v>
          </cell>
          <cell r="N1979">
            <v>485</v>
          </cell>
          <cell r="O1979">
            <v>100</v>
          </cell>
          <cell r="AP1979">
            <v>1030</v>
          </cell>
        </row>
        <row r="1980">
          <cell r="C1980">
            <v>44414</v>
          </cell>
          <cell r="N1980">
            <v>485</v>
          </cell>
          <cell r="O1980">
            <v>100</v>
          </cell>
          <cell r="AP1980">
            <v>1273</v>
          </cell>
        </row>
        <row r="1981">
          <cell r="C1981">
            <v>44414</v>
          </cell>
          <cell r="N1981">
            <v>485</v>
          </cell>
          <cell r="O1981">
            <v>100</v>
          </cell>
          <cell r="AP1981">
            <v>1557</v>
          </cell>
        </row>
        <row r="1982">
          <cell r="C1982">
            <v>44414</v>
          </cell>
          <cell r="N1982">
            <v>485</v>
          </cell>
          <cell r="O1982">
            <v>100</v>
          </cell>
          <cell r="AP1982">
            <v>1024</v>
          </cell>
        </row>
        <row r="1983">
          <cell r="C1983">
            <v>44414</v>
          </cell>
          <cell r="N1983">
            <v>485</v>
          </cell>
          <cell r="O1983">
            <v>100</v>
          </cell>
          <cell r="AP1983">
            <v>1315</v>
          </cell>
        </row>
        <row r="1984">
          <cell r="C1984">
            <v>44414</v>
          </cell>
          <cell r="N1984">
            <v>485</v>
          </cell>
          <cell r="O1984">
            <v>100</v>
          </cell>
          <cell r="AP1984">
            <v>1607</v>
          </cell>
        </row>
        <row r="1985">
          <cell r="C1985">
            <v>44414</v>
          </cell>
          <cell r="N1985">
            <v>485</v>
          </cell>
          <cell r="O1985">
            <v>100</v>
          </cell>
          <cell r="AP1985">
            <v>1056</v>
          </cell>
        </row>
        <row r="1986">
          <cell r="C1986">
            <v>44411</v>
          </cell>
          <cell r="N1986">
            <v>480</v>
          </cell>
          <cell r="O1986">
            <v>170</v>
          </cell>
          <cell r="AP1986">
            <v>1158</v>
          </cell>
        </row>
        <row r="1987">
          <cell r="C1987">
            <v>44411</v>
          </cell>
          <cell r="N1987">
            <v>480</v>
          </cell>
          <cell r="O1987">
            <v>170</v>
          </cell>
          <cell r="AP1987">
            <v>865</v>
          </cell>
        </row>
        <row r="1988">
          <cell r="C1988">
            <v>44411</v>
          </cell>
          <cell r="N1988">
            <v>480</v>
          </cell>
          <cell r="O1988">
            <v>170</v>
          </cell>
          <cell r="AP1988">
            <v>994</v>
          </cell>
        </row>
        <row r="1989">
          <cell r="C1989">
            <v>44411</v>
          </cell>
          <cell r="N1989">
            <v>480</v>
          </cell>
          <cell r="O1989">
            <v>170</v>
          </cell>
          <cell r="AP1989">
            <v>1112</v>
          </cell>
        </row>
        <row r="1990">
          <cell r="C1990">
            <v>44411</v>
          </cell>
          <cell r="N1990">
            <v>480</v>
          </cell>
          <cell r="O1990">
            <v>170</v>
          </cell>
          <cell r="AP1990">
            <v>1182</v>
          </cell>
        </row>
        <row r="1991">
          <cell r="C1991">
            <v>44411</v>
          </cell>
          <cell r="N1991">
            <v>480</v>
          </cell>
          <cell r="O1991">
            <v>170</v>
          </cell>
          <cell r="AP1991">
            <v>883</v>
          </cell>
        </row>
        <row r="1992">
          <cell r="C1992">
            <v>44411</v>
          </cell>
          <cell r="N1992">
            <v>480</v>
          </cell>
          <cell r="O1992">
            <v>170</v>
          </cell>
          <cell r="AP1992">
            <v>1015</v>
          </cell>
        </row>
        <row r="1993">
          <cell r="C1993">
            <v>44411</v>
          </cell>
          <cell r="N1993">
            <v>480</v>
          </cell>
          <cell r="O1993">
            <v>170</v>
          </cell>
          <cell r="AP1993">
            <v>1139</v>
          </cell>
        </row>
        <row r="1994">
          <cell r="C1994">
            <v>44411</v>
          </cell>
          <cell r="N1994">
            <v>480</v>
          </cell>
          <cell r="O1994">
            <v>170</v>
          </cell>
          <cell r="AP1994">
            <v>1169</v>
          </cell>
        </row>
        <row r="1995">
          <cell r="C1995">
            <v>44411</v>
          </cell>
          <cell r="N1995">
            <v>480</v>
          </cell>
          <cell r="O1995">
            <v>170</v>
          </cell>
          <cell r="AP1995">
            <v>873</v>
          </cell>
        </row>
        <row r="1996">
          <cell r="C1996">
            <v>44411</v>
          </cell>
          <cell r="N1996">
            <v>480</v>
          </cell>
          <cell r="O1996">
            <v>170</v>
          </cell>
          <cell r="AP1996">
            <v>1003</v>
          </cell>
        </row>
        <row r="1997">
          <cell r="C1997">
            <v>44411</v>
          </cell>
          <cell r="N1997">
            <v>480</v>
          </cell>
          <cell r="O1997">
            <v>170</v>
          </cell>
          <cell r="AP1997">
            <v>1124</v>
          </cell>
        </row>
        <row r="1998">
          <cell r="C1998">
            <v>44411</v>
          </cell>
          <cell r="N1998">
            <v>480</v>
          </cell>
          <cell r="O1998">
            <v>170</v>
          </cell>
          <cell r="AP1998">
            <v>1239</v>
          </cell>
        </row>
        <row r="1999">
          <cell r="C1999">
            <v>44411</v>
          </cell>
          <cell r="N1999">
            <v>480</v>
          </cell>
          <cell r="O1999">
            <v>170</v>
          </cell>
          <cell r="AP1999">
            <v>862</v>
          </cell>
        </row>
        <row r="2000">
          <cell r="C2000">
            <v>44411</v>
          </cell>
          <cell r="N2000">
            <v>480</v>
          </cell>
          <cell r="O2000">
            <v>170</v>
          </cell>
          <cell r="AP2000">
            <v>819</v>
          </cell>
        </row>
        <row r="2001">
          <cell r="C2001">
            <v>44411</v>
          </cell>
          <cell r="N2001">
            <v>480</v>
          </cell>
          <cell r="O2001">
            <v>170</v>
          </cell>
          <cell r="AP2001">
            <v>1144</v>
          </cell>
        </row>
        <row r="2002">
          <cell r="C2002">
            <v>44414</v>
          </cell>
          <cell r="N2002">
            <v>485</v>
          </cell>
          <cell r="O2002">
            <v>125</v>
          </cell>
          <cell r="AP2002">
            <v>968</v>
          </cell>
        </row>
        <row r="2003">
          <cell r="C2003">
            <v>44414</v>
          </cell>
          <cell r="N2003">
            <v>485</v>
          </cell>
          <cell r="O2003">
            <v>125</v>
          </cell>
          <cell r="AP2003">
            <v>931</v>
          </cell>
        </row>
        <row r="2004">
          <cell r="C2004">
            <v>44414</v>
          </cell>
          <cell r="N2004">
            <v>485</v>
          </cell>
          <cell r="O2004">
            <v>125</v>
          </cell>
          <cell r="AP2004">
            <v>932</v>
          </cell>
        </row>
        <row r="2005">
          <cell r="C2005">
            <v>44414</v>
          </cell>
          <cell r="N2005">
            <v>485</v>
          </cell>
          <cell r="O2005">
            <v>125</v>
          </cell>
          <cell r="AP2005">
            <v>1082</v>
          </cell>
        </row>
        <row r="2006">
          <cell r="C2006">
            <v>44414</v>
          </cell>
          <cell r="N2006">
            <v>485</v>
          </cell>
          <cell r="O2006">
            <v>125</v>
          </cell>
          <cell r="AP2006">
            <v>978</v>
          </cell>
        </row>
        <row r="2007">
          <cell r="C2007">
            <v>44414</v>
          </cell>
          <cell r="N2007">
            <v>485</v>
          </cell>
          <cell r="O2007">
            <v>125</v>
          </cell>
          <cell r="AP2007">
            <v>943</v>
          </cell>
        </row>
        <row r="2008">
          <cell r="C2008">
            <v>44414</v>
          </cell>
          <cell r="N2008">
            <v>485</v>
          </cell>
          <cell r="O2008">
            <v>125</v>
          </cell>
          <cell r="AP2008">
            <v>941</v>
          </cell>
        </row>
        <row r="2009">
          <cell r="C2009">
            <v>44414</v>
          </cell>
          <cell r="N2009">
            <v>485</v>
          </cell>
          <cell r="O2009">
            <v>125</v>
          </cell>
          <cell r="AP2009">
            <v>1094</v>
          </cell>
        </row>
        <row r="2010">
          <cell r="C2010">
            <v>44414</v>
          </cell>
          <cell r="N2010">
            <v>485</v>
          </cell>
          <cell r="O2010">
            <v>125</v>
          </cell>
          <cell r="AP2010">
            <v>972</v>
          </cell>
        </row>
        <row r="2011">
          <cell r="C2011">
            <v>44414</v>
          </cell>
          <cell r="N2011">
            <v>485</v>
          </cell>
          <cell r="O2011">
            <v>125</v>
          </cell>
          <cell r="AP2011">
            <v>935</v>
          </cell>
        </row>
        <row r="2012">
          <cell r="C2012">
            <v>44414</v>
          </cell>
          <cell r="N2012">
            <v>485</v>
          </cell>
          <cell r="O2012">
            <v>125</v>
          </cell>
          <cell r="AP2012">
            <v>936</v>
          </cell>
        </row>
        <row r="2013">
          <cell r="C2013">
            <v>44414</v>
          </cell>
          <cell r="N2013">
            <v>485</v>
          </cell>
          <cell r="O2013">
            <v>125</v>
          </cell>
          <cell r="AP2013">
            <v>1086</v>
          </cell>
        </row>
        <row r="2014">
          <cell r="C2014">
            <v>44415</v>
          </cell>
          <cell r="N2014">
            <v>485</v>
          </cell>
          <cell r="O2014">
            <v>100</v>
          </cell>
          <cell r="AP2014">
            <v>1282</v>
          </cell>
        </row>
        <row r="2015">
          <cell r="C2015">
            <v>44415</v>
          </cell>
          <cell r="N2015">
            <v>485</v>
          </cell>
          <cell r="O2015">
            <v>100</v>
          </cell>
          <cell r="AP2015">
            <v>1048</v>
          </cell>
        </row>
        <row r="2016">
          <cell r="C2016">
            <v>44415</v>
          </cell>
          <cell r="N2016">
            <v>485</v>
          </cell>
          <cell r="O2016">
            <v>100</v>
          </cell>
          <cell r="AP2016">
            <v>1554</v>
          </cell>
        </row>
        <row r="2017">
          <cell r="C2017">
            <v>44415</v>
          </cell>
          <cell r="N2017">
            <v>485</v>
          </cell>
          <cell r="O2017">
            <v>100</v>
          </cell>
          <cell r="AP2017">
            <v>1304</v>
          </cell>
        </row>
        <row r="2018">
          <cell r="C2018">
            <v>44415</v>
          </cell>
          <cell r="N2018">
            <v>485</v>
          </cell>
          <cell r="O2018">
            <v>100</v>
          </cell>
          <cell r="AP2018">
            <v>1068</v>
          </cell>
        </row>
        <row r="2019">
          <cell r="C2019">
            <v>44415</v>
          </cell>
          <cell r="N2019">
            <v>485</v>
          </cell>
          <cell r="O2019">
            <v>100</v>
          </cell>
          <cell r="AP2019">
            <v>1584</v>
          </cell>
        </row>
        <row r="2020">
          <cell r="C2020">
            <v>44415</v>
          </cell>
          <cell r="N2020">
            <v>485</v>
          </cell>
          <cell r="O2020">
            <v>100</v>
          </cell>
          <cell r="AP2020">
            <v>1365</v>
          </cell>
        </row>
        <row r="2021">
          <cell r="C2021">
            <v>44415</v>
          </cell>
          <cell r="N2021">
            <v>485</v>
          </cell>
          <cell r="O2021">
            <v>100</v>
          </cell>
          <cell r="AP2021">
            <v>1010</v>
          </cell>
        </row>
        <row r="2022">
          <cell r="C2022">
            <v>44415</v>
          </cell>
          <cell r="N2022">
            <v>485</v>
          </cell>
          <cell r="O2022">
            <v>100</v>
          </cell>
          <cell r="AP2022">
            <v>1517</v>
          </cell>
        </row>
        <row r="2023">
          <cell r="C2023">
            <v>44415</v>
          </cell>
          <cell r="N2023">
            <v>485</v>
          </cell>
          <cell r="O2023">
            <v>100</v>
          </cell>
          <cell r="AP2023">
            <v>1373</v>
          </cell>
        </row>
        <row r="2024">
          <cell r="C2024">
            <v>44415</v>
          </cell>
          <cell r="N2024">
            <v>485</v>
          </cell>
          <cell r="O2024">
            <v>100</v>
          </cell>
          <cell r="AP2024">
            <v>1018</v>
          </cell>
        </row>
        <row r="2025">
          <cell r="C2025">
            <v>44415</v>
          </cell>
          <cell r="N2025">
            <v>485</v>
          </cell>
          <cell r="O2025">
            <v>100</v>
          </cell>
          <cell r="AP2025">
            <v>1528</v>
          </cell>
        </row>
        <row r="2026">
          <cell r="C2026">
            <v>44415</v>
          </cell>
          <cell r="N2026">
            <v>485</v>
          </cell>
          <cell r="O2026">
            <v>100</v>
          </cell>
          <cell r="AP2026">
            <v>1380</v>
          </cell>
        </row>
        <row r="2027">
          <cell r="C2027">
            <v>44415</v>
          </cell>
          <cell r="N2027">
            <v>485</v>
          </cell>
          <cell r="O2027">
            <v>100</v>
          </cell>
          <cell r="AP2027">
            <v>1023</v>
          </cell>
        </row>
        <row r="2028">
          <cell r="C2028">
            <v>44415</v>
          </cell>
          <cell r="N2028">
            <v>485</v>
          </cell>
          <cell r="O2028">
            <v>100</v>
          </cell>
          <cell r="AP2028">
            <v>1534</v>
          </cell>
        </row>
        <row r="2029">
          <cell r="C2029">
            <v>44415</v>
          </cell>
          <cell r="N2029">
            <v>485</v>
          </cell>
          <cell r="O2029">
            <v>100</v>
          </cell>
          <cell r="AP2029">
            <v>1347</v>
          </cell>
        </row>
        <row r="2030">
          <cell r="C2030">
            <v>44415</v>
          </cell>
          <cell r="N2030">
            <v>485</v>
          </cell>
          <cell r="O2030">
            <v>100</v>
          </cell>
          <cell r="AP2030">
            <v>999</v>
          </cell>
        </row>
        <row r="2031">
          <cell r="C2031">
            <v>44415</v>
          </cell>
          <cell r="N2031">
            <v>485</v>
          </cell>
          <cell r="O2031">
            <v>100</v>
          </cell>
          <cell r="AP2031">
            <v>1498</v>
          </cell>
        </row>
        <row r="2032">
          <cell r="C2032">
            <v>44415</v>
          </cell>
          <cell r="N2032">
            <v>485</v>
          </cell>
          <cell r="O2032">
            <v>100</v>
          </cell>
          <cell r="AP2032">
            <v>1342</v>
          </cell>
        </row>
        <row r="2033">
          <cell r="C2033">
            <v>44415</v>
          </cell>
          <cell r="N2033">
            <v>485</v>
          </cell>
          <cell r="O2033">
            <v>100</v>
          </cell>
          <cell r="AP2033">
            <v>995</v>
          </cell>
        </row>
        <row r="2034">
          <cell r="C2034">
            <v>44415</v>
          </cell>
          <cell r="N2034">
            <v>485</v>
          </cell>
          <cell r="O2034">
            <v>100</v>
          </cell>
          <cell r="AP2034">
            <v>1489</v>
          </cell>
        </row>
        <row r="2035">
          <cell r="C2035">
            <v>44415</v>
          </cell>
          <cell r="N2035">
            <v>485</v>
          </cell>
          <cell r="O2035">
            <v>100</v>
          </cell>
          <cell r="AP2035">
            <v>1323</v>
          </cell>
        </row>
        <row r="2036">
          <cell r="C2036">
            <v>44415</v>
          </cell>
          <cell r="N2036">
            <v>485</v>
          </cell>
          <cell r="O2036">
            <v>100</v>
          </cell>
          <cell r="AP2036">
            <v>980</v>
          </cell>
        </row>
        <row r="2037">
          <cell r="C2037">
            <v>44415</v>
          </cell>
          <cell r="N2037">
            <v>485</v>
          </cell>
          <cell r="O2037">
            <v>100</v>
          </cell>
          <cell r="AP2037">
            <v>1470</v>
          </cell>
        </row>
        <row r="2038">
          <cell r="C2038">
            <v>44415</v>
          </cell>
          <cell r="N2038">
            <v>485</v>
          </cell>
          <cell r="O2038">
            <v>100</v>
          </cell>
          <cell r="AP2038">
            <v>1342</v>
          </cell>
        </row>
        <row r="2039">
          <cell r="C2039">
            <v>44415</v>
          </cell>
          <cell r="N2039">
            <v>485</v>
          </cell>
          <cell r="O2039">
            <v>100</v>
          </cell>
          <cell r="AP2039">
            <v>994</v>
          </cell>
        </row>
        <row r="2040">
          <cell r="C2040">
            <v>44415</v>
          </cell>
          <cell r="N2040">
            <v>485</v>
          </cell>
          <cell r="O2040">
            <v>100</v>
          </cell>
          <cell r="AP2040">
            <v>1489</v>
          </cell>
        </row>
        <row r="2041">
          <cell r="C2041">
            <v>44415</v>
          </cell>
          <cell r="N2041">
            <v>485</v>
          </cell>
          <cell r="O2041">
            <v>100</v>
          </cell>
          <cell r="AP2041">
            <v>1358</v>
          </cell>
        </row>
        <row r="2042">
          <cell r="C2042">
            <v>44415</v>
          </cell>
          <cell r="N2042">
            <v>485</v>
          </cell>
          <cell r="O2042">
            <v>100</v>
          </cell>
          <cell r="AP2042">
            <v>1005</v>
          </cell>
        </row>
        <row r="2043">
          <cell r="C2043">
            <v>44415</v>
          </cell>
          <cell r="N2043">
            <v>485</v>
          </cell>
          <cell r="O2043">
            <v>100</v>
          </cell>
          <cell r="AP2043">
            <v>1506</v>
          </cell>
        </row>
        <row r="2044">
          <cell r="C2044">
            <v>44415</v>
          </cell>
          <cell r="N2044">
            <v>485</v>
          </cell>
          <cell r="O2044">
            <v>100</v>
          </cell>
          <cell r="AP2044">
            <v>1367</v>
          </cell>
        </row>
        <row r="2045">
          <cell r="C2045">
            <v>44415</v>
          </cell>
          <cell r="N2045">
            <v>485</v>
          </cell>
          <cell r="O2045">
            <v>100</v>
          </cell>
          <cell r="AP2045">
            <v>1009</v>
          </cell>
        </row>
        <row r="2046">
          <cell r="C2046">
            <v>44415</v>
          </cell>
          <cell r="N2046">
            <v>485</v>
          </cell>
          <cell r="O2046">
            <v>100</v>
          </cell>
          <cell r="AP2046">
            <v>1515</v>
          </cell>
        </row>
        <row r="2047">
          <cell r="C2047">
            <v>44415</v>
          </cell>
          <cell r="N2047">
            <v>485</v>
          </cell>
          <cell r="O2047">
            <v>100</v>
          </cell>
          <cell r="AP2047">
            <v>1429</v>
          </cell>
        </row>
        <row r="2048">
          <cell r="C2048">
            <v>44415</v>
          </cell>
          <cell r="N2048">
            <v>485</v>
          </cell>
          <cell r="O2048">
            <v>100</v>
          </cell>
          <cell r="AP2048">
            <v>1056</v>
          </cell>
        </row>
        <row r="2049">
          <cell r="C2049">
            <v>44415</v>
          </cell>
          <cell r="N2049">
            <v>485</v>
          </cell>
          <cell r="O2049">
            <v>100</v>
          </cell>
          <cell r="AP2049">
            <v>1584</v>
          </cell>
        </row>
        <row r="2050">
          <cell r="C2050">
            <v>44415</v>
          </cell>
          <cell r="N2050">
            <v>485</v>
          </cell>
          <cell r="O2050">
            <v>100</v>
          </cell>
          <cell r="AP2050">
            <v>1338</v>
          </cell>
        </row>
        <row r="2051">
          <cell r="C2051">
            <v>44415</v>
          </cell>
          <cell r="N2051">
            <v>485</v>
          </cell>
          <cell r="O2051">
            <v>100</v>
          </cell>
          <cell r="AP2051">
            <v>990</v>
          </cell>
        </row>
        <row r="2052">
          <cell r="C2052">
            <v>44415</v>
          </cell>
          <cell r="N2052">
            <v>485</v>
          </cell>
          <cell r="O2052">
            <v>100</v>
          </cell>
          <cell r="AP2052">
            <v>1487</v>
          </cell>
        </row>
        <row r="2053">
          <cell r="C2053">
            <v>44415</v>
          </cell>
          <cell r="N2053">
            <v>485</v>
          </cell>
          <cell r="O2053">
            <v>100</v>
          </cell>
          <cell r="AP2053">
            <v>1353</v>
          </cell>
        </row>
        <row r="2054">
          <cell r="C2054">
            <v>44415</v>
          </cell>
          <cell r="N2054">
            <v>485</v>
          </cell>
          <cell r="O2054">
            <v>100</v>
          </cell>
          <cell r="AP2054">
            <v>1003</v>
          </cell>
        </row>
        <row r="2055">
          <cell r="C2055">
            <v>44415</v>
          </cell>
          <cell r="N2055">
            <v>485</v>
          </cell>
          <cell r="O2055">
            <v>100</v>
          </cell>
          <cell r="AP2055">
            <v>1506</v>
          </cell>
        </row>
        <row r="2056">
          <cell r="C2056">
            <v>44415</v>
          </cell>
          <cell r="N2056">
            <v>485</v>
          </cell>
          <cell r="O2056">
            <v>100</v>
          </cell>
          <cell r="AP2056">
            <v>1349</v>
          </cell>
        </row>
        <row r="2057">
          <cell r="C2057">
            <v>44415</v>
          </cell>
          <cell r="N2057">
            <v>485</v>
          </cell>
          <cell r="O2057">
            <v>100</v>
          </cell>
          <cell r="AP2057">
            <v>1000</v>
          </cell>
        </row>
        <row r="2058">
          <cell r="C2058">
            <v>44415</v>
          </cell>
          <cell r="N2058">
            <v>485</v>
          </cell>
          <cell r="O2058">
            <v>100</v>
          </cell>
          <cell r="AP2058">
            <v>1501</v>
          </cell>
        </row>
        <row r="2059">
          <cell r="C2059">
            <v>44415</v>
          </cell>
          <cell r="N2059">
            <v>485</v>
          </cell>
          <cell r="O2059">
            <v>100</v>
          </cell>
          <cell r="AP2059">
            <v>1321</v>
          </cell>
        </row>
        <row r="2060">
          <cell r="C2060">
            <v>44415</v>
          </cell>
          <cell r="N2060">
            <v>485</v>
          </cell>
          <cell r="O2060">
            <v>100</v>
          </cell>
          <cell r="AP2060">
            <v>1086</v>
          </cell>
        </row>
        <row r="2061">
          <cell r="C2061">
            <v>44415</v>
          </cell>
          <cell r="N2061">
            <v>485</v>
          </cell>
          <cell r="O2061">
            <v>100</v>
          </cell>
          <cell r="AP2061">
            <v>1471</v>
          </cell>
        </row>
        <row r="2062">
          <cell r="C2062">
            <v>44415</v>
          </cell>
          <cell r="N2062">
            <v>485</v>
          </cell>
          <cell r="O2062">
            <v>100</v>
          </cell>
          <cell r="AP2062">
            <v>1328</v>
          </cell>
        </row>
        <row r="2063">
          <cell r="C2063">
            <v>44415</v>
          </cell>
          <cell r="N2063">
            <v>485</v>
          </cell>
          <cell r="O2063">
            <v>100</v>
          </cell>
          <cell r="AP2063">
            <v>1092</v>
          </cell>
        </row>
        <row r="2064">
          <cell r="C2064">
            <v>44415</v>
          </cell>
          <cell r="N2064">
            <v>485</v>
          </cell>
          <cell r="O2064">
            <v>100</v>
          </cell>
          <cell r="AP2064">
            <v>1477</v>
          </cell>
        </row>
        <row r="2065">
          <cell r="C2065">
            <v>44415</v>
          </cell>
          <cell r="N2065">
            <v>485</v>
          </cell>
          <cell r="O2065">
            <v>100</v>
          </cell>
          <cell r="AP2065">
            <v>1234</v>
          </cell>
        </row>
        <row r="2066">
          <cell r="C2066">
            <v>44415</v>
          </cell>
          <cell r="N2066">
            <v>485</v>
          </cell>
          <cell r="O2066">
            <v>100</v>
          </cell>
          <cell r="AP2066">
            <v>1018</v>
          </cell>
        </row>
        <row r="2067">
          <cell r="C2067">
            <v>44415</v>
          </cell>
          <cell r="N2067">
            <v>485</v>
          </cell>
          <cell r="O2067">
            <v>100</v>
          </cell>
          <cell r="AP2067">
            <v>1378</v>
          </cell>
        </row>
        <row r="2068">
          <cell r="C2068">
            <v>44415</v>
          </cell>
          <cell r="N2068">
            <v>485</v>
          </cell>
          <cell r="O2068">
            <v>100</v>
          </cell>
          <cell r="AP2068">
            <v>1272</v>
          </cell>
        </row>
        <row r="2069">
          <cell r="C2069">
            <v>44415</v>
          </cell>
          <cell r="N2069">
            <v>485</v>
          </cell>
          <cell r="O2069">
            <v>100</v>
          </cell>
          <cell r="AP2069">
            <v>1050</v>
          </cell>
        </row>
        <row r="2070">
          <cell r="C2070">
            <v>44415</v>
          </cell>
          <cell r="N2070">
            <v>485</v>
          </cell>
          <cell r="O2070">
            <v>100</v>
          </cell>
          <cell r="AP2070">
            <v>1419</v>
          </cell>
        </row>
        <row r="2071">
          <cell r="C2071">
            <v>44415</v>
          </cell>
          <cell r="N2071">
            <v>485</v>
          </cell>
          <cell r="O2071">
            <v>100</v>
          </cell>
          <cell r="AP2071">
            <v>1268</v>
          </cell>
        </row>
        <row r="2072">
          <cell r="C2072">
            <v>44415</v>
          </cell>
          <cell r="N2072">
            <v>485</v>
          </cell>
          <cell r="O2072">
            <v>100</v>
          </cell>
          <cell r="AP2072">
            <v>1045</v>
          </cell>
        </row>
        <row r="2073">
          <cell r="C2073">
            <v>44415</v>
          </cell>
          <cell r="N2073">
            <v>485</v>
          </cell>
          <cell r="O2073">
            <v>100</v>
          </cell>
          <cell r="AP2073">
            <v>1414</v>
          </cell>
        </row>
        <row r="2074">
          <cell r="C2074">
            <v>44415</v>
          </cell>
          <cell r="N2074">
            <v>485</v>
          </cell>
          <cell r="O2074">
            <v>100</v>
          </cell>
          <cell r="AP2074">
            <v>1271</v>
          </cell>
        </row>
        <row r="2075">
          <cell r="C2075">
            <v>44415</v>
          </cell>
          <cell r="N2075">
            <v>485</v>
          </cell>
          <cell r="O2075">
            <v>100</v>
          </cell>
          <cell r="AP2075">
            <v>1047</v>
          </cell>
        </row>
        <row r="2076">
          <cell r="C2076">
            <v>44415</v>
          </cell>
          <cell r="N2076">
            <v>485</v>
          </cell>
          <cell r="O2076">
            <v>100</v>
          </cell>
          <cell r="AP2076">
            <v>1418</v>
          </cell>
        </row>
        <row r="2077">
          <cell r="C2077">
            <v>44415</v>
          </cell>
          <cell r="N2077">
            <v>485</v>
          </cell>
          <cell r="O2077">
            <v>100</v>
          </cell>
          <cell r="AP2077">
            <v>1281</v>
          </cell>
        </row>
        <row r="2078">
          <cell r="C2078">
            <v>44415</v>
          </cell>
          <cell r="N2078">
            <v>485</v>
          </cell>
          <cell r="O2078">
            <v>100</v>
          </cell>
          <cell r="AP2078">
            <v>1055</v>
          </cell>
        </row>
        <row r="2079">
          <cell r="C2079">
            <v>44415</v>
          </cell>
          <cell r="N2079">
            <v>485</v>
          </cell>
          <cell r="O2079">
            <v>100</v>
          </cell>
          <cell r="AP2079">
            <v>1430</v>
          </cell>
        </row>
        <row r="2080">
          <cell r="C2080">
            <v>44415</v>
          </cell>
          <cell r="N2080">
            <v>485</v>
          </cell>
          <cell r="O2080">
            <v>100</v>
          </cell>
          <cell r="AP2080">
            <v>1276</v>
          </cell>
        </row>
        <row r="2081">
          <cell r="C2081">
            <v>44415</v>
          </cell>
          <cell r="N2081">
            <v>485</v>
          </cell>
          <cell r="O2081">
            <v>100</v>
          </cell>
          <cell r="AP2081">
            <v>1049</v>
          </cell>
        </row>
        <row r="2082">
          <cell r="C2082">
            <v>44415</v>
          </cell>
          <cell r="N2082">
            <v>485</v>
          </cell>
          <cell r="O2082">
            <v>100</v>
          </cell>
          <cell r="AP2082">
            <v>1423</v>
          </cell>
        </row>
        <row r="2083">
          <cell r="C2083">
            <v>44415</v>
          </cell>
          <cell r="N2083">
            <v>485</v>
          </cell>
          <cell r="O2083">
            <v>100</v>
          </cell>
          <cell r="AP2083">
            <v>1280</v>
          </cell>
        </row>
        <row r="2084">
          <cell r="C2084">
            <v>44415</v>
          </cell>
          <cell r="N2084">
            <v>485</v>
          </cell>
          <cell r="O2084">
            <v>100</v>
          </cell>
          <cell r="AP2084">
            <v>1053</v>
          </cell>
        </row>
        <row r="2085">
          <cell r="C2085">
            <v>44415</v>
          </cell>
          <cell r="N2085">
            <v>485</v>
          </cell>
          <cell r="O2085">
            <v>100</v>
          </cell>
          <cell r="AP2085">
            <v>1428</v>
          </cell>
        </row>
        <row r="2086">
          <cell r="C2086">
            <v>44415</v>
          </cell>
          <cell r="N2086">
            <v>485</v>
          </cell>
          <cell r="O2086">
            <v>100</v>
          </cell>
          <cell r="AP2086">
            <v>1289</v>
          </cell>
        </row>
        <row r="2087">
          <cell r="C2087">
            <v>44415</v>
          </cell>
          <cell r="N2087">
            <v>485</v>
          </cell>
          <cell r="O2087">
            <v>100</v>
          </cell>
          <cell r="AP2087">
            <v>1059</v>
          </cell>
        </row>
        <row r="2088">
          <cell r="C2088">
            <v>44415</v>
          </cell>
          <cell r="N2088">
            <v>485</v>
          </cell>
          <cell r="O2088">
            <v>100</v>
          </cell>
          <cell r="AP2088">
            <v>1432</v>
          </cell>
        </row>
        <row r="2089">
          <cell r="C2089">
            <v>44415</v>
          </cell>
          <cell r="N2089">
            <v>485</v>
          </cell>
          <cell r="O2089">
            <v>100</v>
          </cell>
          <cell r="AP2089">
            <v>1378</v>
          </cell>
        </row>
        <row r="2090">
          <cell r="C2090">
            <v>44415</v>
          </cell>
          <cell r="N2090">
            <v>485</v>
          </cell>
          <cell r="O2090">
            <v>100</v>
          </cell>
          <cell r="AP2090">
            <v>1135</v>
          </cell>
        </row>
        <row r="2091">
          <cell r="C2091">
            <v>44415</v>
          </cell>
          <cell r="N2091">
            <v>485</v>
          </cell>
          <cell r="O2091">
            <v>100</v>
          </cell>
          <cell r="AP2091">
            <v>1539</v>
          </cell>
        </row>
        <row r="2092">
          <cell r="C2092">
            <v>44415</v>
          </cell>
          <cell r="N2092">
            <v>485</v>
          </cell>
          <cell r="O2092">
            <v>100</v>
          </cell>
          <cell r="AP2092">
            <v>1290</v>
          </cell>
        </row>
        <row r="2093">
          <cell r="C2093">
            <v>44415</v>
          </cell>
          <cell r="N2093">
            <v>485</v>
          </cell>
          <cell r="O2093">
            <v>100</v>
          </cell>
          <cell r="AP2093">
            <v>1065</v>
          </cell>
        </row>
        <row r="2094">
          <cell r="C2094">
            <v>44415</v>
          </cell>
          <cell r="N2094">
            <v>485</v>
          </cell>
          <cell r="O2094">
            <v>100</v>
          </cell>
          <cell r="AP2094">
            <v>1440</v>
          </cell>
        </row>
        <row r="2095">
          <cell r="C2095">
            <v>44415</v>
          </cell>
          <cell r="N2095">
            <v>485</v>
          </cell>
          <cell r="O2095">
            <v>100</v>
          </cell>
          <cell r="AP2095">
            <v>1299</v>
          </cell>
        </row>
        <row r="2096">
          <cell r="C2096">
            <v>44415</v>
          </cell>
          <cell r="N2096">
            <v>485</v>
          </cell>
          <cell r="O2096">
            <v>100</v>
          </cell>
          <cell r="AP2096">
            <v>1072</v>
          </cell>
        </row>
        <row r="2097">
          <cell r="C2097">
            <v>44415</v>
          </cell>
          <cell r="N2097">
            <v>485</v>
          </cell>
          <cell r="O2097">
            <v>100</v>
          </cell>
          <cell r="AP2097">
            <v>1452</v>
          </cell>
        </row>
        <row r="2098">
          <cell r="C2098">
            <v>44415</v>
          </cell>
          <cell r="N2098">
            <v>485</v>
          </cell>
          <cell r="O2098">
            <v>100</v>
          </cell>
          <cell r="AP2098">
            <v>1377</v>
          </cell>
        </row>
        <row r="2099">
          <cell r="C2099">
            <v>44415</v>
          </cell>
          <cell r="N2099">
            <v>485</v>
          </cell>
          <cell r="O2099">
            <v>100</v>
          </cell>
          <cell r="AP2099">
            <v>1031</v>
          </cell>
        </row>
        <row r="2100">
          <cell r="C2100">
            <v>44415</v>
          </cell>
          <cell r="N2100">
            <v>485</v>
          </cell>
          <cell r="O2100">
            <v>100</v>
          </cell>
          <cell r="AP2100">
            <v>1407</v>
          </cell>
        </row>
        <row r="2101">
          <cell r="C2101">
            <v>44415</v>
          </cell>
          <cell r="N2101">
            <v>485</v>
          </cell>
          <cell r="O2101">
            <v>100</v>
          </cell>
          <cell r="AP2101">
            <v>1360</v>
          </cell>
        </row>
        <row r="2102">
          <cell r="C2102">
            <v>44415</v>
          </cell>
          <cell r="N2102">
            <v>485</v>
          </cell>
          <cell r="O2102">
            <v>100</v>
          </cell>
          <cell r="AP2102">
            <v>1015</v>
          </cell>
        </row>
        <row r="2103">
          <cell r="C2103">
            <v>44415</v>
          </cell>
          <cell r="N2103">
            <v>485</v>
          </cell>
          <cell r="O2103">
            <v>100</v>
          </cell>
          <cell r="AP2103">
            <v>1387</v>
          </cell>
        </row>
        <row r="2104">
          <cell r="C2104">
            <v>44415</v>
          </cell>
          <cell r="N2104">
            <v>485</v>
          </cell>
          <cell r="O2104">
            <v>100</v>
          </cell>
          <cell r="AP2104">
            <v>1360</v>
          </cell>
        </row>
        <row r="2105">
          <cell r="C2105">
            <v>44415</v>
          </cell>
          <cell r="N2105">
            <v>485</v>
          </cell>
          <cell r="O2105">
            <v>100</v>
          </cell>
          <cell r="AP2105">
            <v>1014</v>
          </cell>
        </row>
        <row r="2106">
          <cell r="C2106">
            <v>44415</v>
          </cell>
          <cell r="N2106">
            <v>485</v>
          </cell>
          <cell r="O2106">
            <v>100</v>
          </cell>
          <cell r="AP2106">
            <v>1387</v>
          </cell>
        </row>
        <row r="2107">
          <cell r="C2107">
            <v>44415</v>
          </cell>
          <cell r="N2107">
            <v>485</v>
          </cell>
          <cell r="O2107">
            <v>100</v>
          </cell>
          <cell r="AP2107">
            <v>1325</v>
          </cell>
        </row>
        <row r="2108">
          <cell r="C2108">
            <v>44415</v>
          </cell>
          <cell r="N2108">
            <v>485</v>
          </cell>
          <cell r="O2108">
            <v>100</v>
          </cell>
          <cell r="AP2108">
            <v>988</v>
          </cell>
        </row>
        <row r="2109">
          <cell r="C2109">
            <v>44415</v>
          </cell>
          <cell r="N2109">
            <v>485</v>
          </cell>
          <cell r="O2109">
            <v>100</v>
          </cell>
          <cell r="AP2109">
            <v>1351</v>
          </cell>
        </row>
        <row r="2110">
          <cell r="C2110">
            <v>44415</v>
          </cell>
          <cell r="N2110">
            <v>485</v>
          </cell>
          <cell r="O2110">
            <v>100</v>
          </cell>
          <cell r="AP2110">
            <v>1374</v>
          </cell>
        </row>
        <row r="2111">
          <cell r="C2111">
            <v>44415</v>
          </cell>
          <cell r="N2111">
            <v>485</v>
          </cell>
          <cell r="O2111">
            <v>100</v>
          </cell>
          <cell r="AP2111">
            <v>1025</v>
          </cell>
        </row>
        <row r="2112">
          <cell r="C2112">
            <v>44415</v>
          </cell>
          <cell r="N2112">
            <v>485</v>
          </cell>
          <cell r="O2112">
            <v>100</v>
          </cell>
          <cell r="AP2112">
            <v>1404</v>
          </cell>
        </row>
        <row r="2113">
          <cell r="C2113">
            <v>44415</v>
          </cell>
          <cell r="N2113">
            <v>485</v>
          </cell>
          <cell r="O2113">
            <v>100</v>
          </cell>
          <cell r="AP2113">
            <v>1392</v>
          </cell>
        </row>
        <row r="2114">
          <cell r="C2114">
            <v>44415</v>
          </cell>
          <cell r="N2114">
            <v>485</v>
          </cell>
          <cell r="O2114">
            <v>100</v>
          </cell>
          <cell r="AP2114">
            <v>1035</v>
          </cell>
        </row>
        <row r="2115">
          <cell r="C2115">
            <v>44415</v>
          </cell>
          <cell r="N2115">
            <v>485</v>
          </cell>
          <cell r="O2115">
            <v>100</v>
          </cell>
          <cell r="AP2115">
            <v>1423</v>
          </cell>
        </row>
        <row r="2116">
          <cell r="C2116">
            <v>44415</v>
          </cell>
          <cell r="N2116">
            <v>485</v>
          </cell>
          <cell r="O2116">
            <v>100</v>
          </cell>
          <cell r="AP2116">
            <v>1369</v>
          </cell>
        </row>
        <row r="2117">
          <cell r="C2117">
            <v>44415</v>
          </cell>
          <cell r="N2117">
            <v>485</v>
          </cell>
          <cell r="O2117">
            <v>100</v>
          </cell>
          <cell r="AP2117">
            <v>1012</v>
          </cell>
        </row>
        <row r="2118">
          <cell r="C2118">
            <v>44415</v>
          </cell>
          <cell r="N2118">
            <v>485</v>
          </cell>
          <cell r="O2118">
            <v>100</v>
          </cell>
          <cell r="AP2118">
            <v>1392</v>
          </cell>
        </row>
        <row r="2119">
          <cell r="C2119">
            <v>44415</v>
          </cell>
          <cell r="N2119">
            <v>485</v>
          </cell>
          <cell r="O2119">
            <v>100</v>
          </cell>
          <cell r="AP2119">
            <v>1394</v>
          </cell>
        </row>
        <row r="2120">
          <cell r="C2120">
            <v>44415</v>
          </cell>
          <cell r="N2120">
            <v>485</v>
          </cell>
          <cell r="O2120">
            <v>100</v>
          </cell>
          <cell r="AP2120">
            <v>1041</v>
          </cell>
        </row>
        <row r="2121">
          <cell r="C2121">
            <v>44415</v>
          </cell>
          <cell r="N2121">
            <v>485</v>
          </cell>
          <cell r="O2121">
            <v>100</v>
          </cell>
          <cell r="AP2121">
            <v>1422</v>
          </cell>
        </row>
        <row r="2122">
          <cell r="C2122">
            <v>44415</v>
          </cell>
          <cell r="N2122">
            <v>485</v>
          </cell>
          <cell r="O2122">
            <v>100</v>
          </cell>
          <cell r="AP2122">
            <v>1408</v>
          </cell>
        </row>
        <row r="2123">
          <cell r="C2123">
            <v>44415</v>
          </cell>
          <cell r="N2123">
            <v>485</v>
          </cell>
          <cell r="O2123">
            <v>100</v>
          </cell>
          <cell r="AP2123">
            <v>1051</v>
          </cell>
        </row>
        <row r="2124">
          <cell r="C2124">
            <v>44415</v>
          </cell>
          <cell r="N2124">
            <v>485</v>
          </cell>
          <cell r="O2124">
            <v>100</v>
          </cell>
          <cell r="AP2124">
            <v>1438</v>
          </cell>
        </row>
        <row r="2125">
          <cell r="C2125">
            <v>44415</v>
          </cell>
          <cell r="N2125">
            <v>485</v>
          </cell>
          <cell r="O2125">
            <v>100</v>
          </cell>
          <cell r="AP2125">
            <v>1472</v>
          </cell>
        </row>
        <row r="2126">
          <cell r="C2126">
            <v>44415</v>
          </cell>
          <cell r="N2126">
            <v>485</v>
          </cell>
          <cell r="O2126">
            <v>100</v>
          </cell>
          <cell r="AP2126">
            <v>1098</v>
          </cell>
        </row>
        <row r="2127">
          <cell r="C2127">
            <v>44415</v>
          </cell>
          <cell r="N2127">
            <v>485</v>
          </cell>
          <cell r="O2127">
            <v>100</v>
          </cell>
          <cell r="AP2127">
            <v>1502</v>
          </cell>
        </row>
        <row r="2128">
          <cell r="C2128">
            <v>44415</v>
          </cell>
          <cell r="N2128">
            <v>485</v>
          </cell>
          <cell r="O2128">
            <v>100</v>
          </cell>
          <cell r="AP2128">
            <v>1380</v>
          </cell>
        </row>
        <row r="2129">
          <cell r="C2129">
            <v>44415</v>
          </cell>
          <cell r="N2129">
            <v>485</v>
          </cell>
          <cell r="O2129">
            <v>100</v>
          </cell>
          <cell r="AP2129">
            <v>1030</v>
          </cell>
        </row>
        <row r="2130">
          <cell r="C2130">
            <v>44415</v>
          </cell>
          <cell r="N2130">
            <v>485</v>
          </cell>
          <cell r="O2130">
            <v>100</v>
          </cell>
          <cell r="AP2130">
            <v>1409</v>
          </cell>
        </row>
        <row r="2131">
          <cell r="C2131">
            <v>44415</v>
          </cell>
          <cell r="N2131">
            <v>485</v>
          </cell>
          <cell r="O2131">
            <v>100</v>
          </cell>
          <cell r="AP2131">
            <v>1386</v>
          </cell>
        </row>
        <row r="2132">
          <cell r="C2132">
            <v>44415</v>
          </cell>
          <cell r="N2132">
            <v>485</v>
          </cell>
          <cell r="O2132">
            <v>100</v>
          </cell>
          <cell r="AP2132">
            <v>1036</v>
          </cell>
        </row>
        <row r="2133">
          <cell r="C2133">
            <v>44415</v>
          </cell>
          <cell r="N2133">
            <v>485</v>
          </cell>
          <cell r="O2133">
            <v>100</v>
          </cell>
          <cell r="AP2133">
            <v>1416</v>
          </cell>
        </row>
        <row r="2134">
          <cell r="C2134">
            <v>44415</v>
          </cell>
          <cell r="N2134">
            <v>485</v>
          </cell>
          <cell r="O2134">
            <v>100</v>
          </cell>
          <cell r="AP2134">
            <v>1399</v>
          </cell>
        </row>
        <row r="2135">
          <cell r="C2135">
            <v>44415</v>
          </cell>
          <cell r="N2135">
            <v>485</v>
          </cell>
          <cell r="O2135">
            <v>100</v>
          </cell>
          <cell r="AP2135">
            <v>1044</v>
          </cell>
        </row>
        <row r="2136">
          <cell r="C2136">
            <v>44415</v>
          </cell>
          <cell r="N2136">
            <v>485</v>
          </cell>
          <cell r="O2136">
            <v>100</v>
          </cell>
          <cell r="AP2136">
            <v>1429</v>
          </cell>
        </row>
        <row r="2137">
          <cell r="C2137">
            <v>44415</v>
          </cell>
          <cell r="N2137">
            <v>485</v>
          </cell>
          <cell r="O2137">
            <v>100</v>
          </cell>
          <cell r="AP2137">
            <v>1240</v>
          </cell>
        </row>
        <row r="2138">
          <cell r="C2138">
            <v>44415</v>
          </cell>
          <cell r="N2138">
            <v>485</v>
          </cell>
          <cell r="O2138">
            <v>100</v>
          </cell>
          <cell r="AP2138">
            <v>1405</v>
          </cell>
        </row>
        <row r="2139">
          <cell r="C2139">
            <v>44415</v>
          </cell>
          <cell r="N2139">
            <v>485</v>
          </cell>
          <cell r="O2139">
            <v>100</v>
          </cell>
          <cell r="AP2139">
            <v>1229</v>
          </cell>
        </row>
        <row r="2140">
          <cell r="C2140">
            <v>44415</v>
          </cell>
          <cell r="N2140">
            <v>485</v>
          </cell>
          <cell r="O2140">
            <v>100</v>
          </cell>
          <cell r="AP2140">
            <v>1258</v>
          </cell>
        </row>
        <row r="2141">
          <cell r="C2141">
            <v>44415</v>
          </cell>
          <cell r="N2141">
            <v>485</v>
          </cell>
          <cell r="O2141">
            <v>100</v>
          </cell>
          <cell r="AP2141">
            <v>1427</v>
          </cell>
        </row>
        <row r="2142">
          <cell r="C2142">
            <v>44415</v>
          </cell>
          <cell r="N2142">
            <v>485</v>
          </cell>
          <cell r="O2142">
            <v>100</v>
          </cell>
          <cell r="AP2142">
            <v>1248</v>
          </cell>
        </row>
        <row r="2143">
          <cell r="C2143">
            <v>44415</v>
          </cell>
          <cell r="N2143">
            <v>485</v>
          </cell>
          <cell r="O2143">
            <v>100</v>
          </cell>
          <cell r="AP2143">
            <v>1244</v>
          </cell>
        </row>
        <row r="2144">
          <cell r="C2144">
            <v>44415</v>
          </cell>
          <cell r="N2144">
            <v>485</v>
          </cell>
          <cell r="O2144">
            <v>100</v>
          </cell>
          <cell r="AP2144">
            <v>1410</v>
          </cell>
        </row>
        <row r="2145">
          <cell r="C2145">
            <v>44415</v>
          </cell>
          <cell r="N2145">
            <v>485</v>
          </cell>
          <cell r="O2145">
            <v>100</v>
          </cell>
          <cell r="AP2145">
            <v>1233</v>
          </cell>
        </row>
        <row r="2146">
          <cell r="C2146">
            <v>44415</v>
          </cell>
          <cell r="N2146">
            <v>477.02569444444441</v>
          </cell>
          <cell r="O2146">
            <v>100</v>
          </cell>
          <cell r="AP2146">
            <v>1238</v>
          </cell>
        </row>
        <row r="2147">
          <cell r="C2147">
            <v>44415</v>
          </cell>
          <cell r="N2147">
            <v>477</v>
          </cell>
          <cell r="O2147">
            <v>100</v>
          </cell>
          <cell r="AP2147">
            <v>1143</v>
          </cell>
        </row>
        <row r="2148">
          <cell r="C2148">
            <v>44415</v>
          </cell>
          <cell r="N2148">
            <v>477</v>
          </cell>
          <cell r="O2148">
            <v>100</v>
          </cell>
          <cell r="AP2148">
            <v>1306</v>
          </cell>
        </row>
        <row r="2149">
          <cell r="C2149">
            <v>44415</v>
          </cell>
          <cell r="N2149">
            <v>477</v>
          </cell>
          <cell r="O2149">
            <v>100</v>
          </cell>
          <cell r="AP2149">
            <v>1255</v>
          </cell>
        </row>
        <row r="2150">
          <cell r="C2150">
            <v>44415</v>
          </cell>
          <cell r="N2150">
            <v>477</v>
          </cell>
          <cell r="O2150">
            <v>100</v>
          </cell>
          <cell r="AP2150">
            <v>1159</v>
          </cell>
        </row>
        <row r="2151">
          <cell r="C2151">
            <v>44415</v>
          </cell>
          <cell r="N2151">
            <v>477</v>
          </cell>
          <cell r="O2151">
            <v>100</v>
          </cell>
          <cell r="AP2151">
            <v>1327</v>
          </cell>
        </row>
        <row r="2152">
          <cell r="C2152">
            <v>44415</v>
          </cell>
          <cell r="N2152">
            <v>477</v>
          </cell>
          <cell r="O2152">
            <v>100</v>
          </cell>
          <cell r="AP2152">
            <v>1194</v>
          </cell>
        </row>
        <row r="2153">
          <cell r="C2153">
            <v>44415</v>
          </cell>
          <cell r="N2153">
            <v>477</v>
          </cell>
          <cell r="O2153">
            <v>100</v>
          </cell>
          <cell r="AP2153">
            <v>1104</v>
          </cell>
        </row>
        <row r="2154">
          <cell r="C2154">
            <v>44415</v>
          </cell>
          <cell r="N2154">
            <v>477</v>
          </cell>
          <cell r="O2154">
            <v>100</v>
          </cell>
          <cell r="AP2154">
            <v>1261</v>
          </cell>
        </row>
        <row r="2155">
          <cell r="C2155">
            <v>44415</v>
          </cell>
          <cell r="N2155">
            <v>477</v>
          </cell>
          <cell r="O2155">
            <v>100</v>
          </cell>
          <cell r="AP2155">
            <v>1257</v>
          </cell>
        </row>
        <row r="2156">
          <cell r="C2156">
            <v>44415</v>
          </cell>
          <cell r="N2156">
            <v>477</v>
          </cell>
          <cell r="O2156">
            <v>100</v>
          </cell>
          <cell r="AP2156">
            <v>1162</v>
          </cell>
        </row>
        <row r="2157">
          <cell r="C2157">
            <v>44415</v>
          </cell>
          <cell r="N2157">
            <v>477</v>
          </cell>
          <cell r="O2157">
            <v>100</v>
          </cell>
          <cell r="AP2157">
            <v>1325</v>
          </cell>
        </row>
        <row r="2158">
          <cell r="C2158">
            <v>44415</v>
          </cell>
          <cell r="N2158">
            <v>477</v>
          </cell>
          <cell r="O2158">
            <v>100</v>
          </cell>
          <cell r="AP2158">
            <v>1225</v>
          </cell>
        </row>
        <row r="2159">
          <cell r="C2159">
            <v>44415</v>
          </cell>
          <cell r="N2159">
            <v>477</v>
          </cell>
          <cell r="O2159">
            <v>100</v>
          </cell>
          <cell r="AP2159">
            <v>1130</v>
          </cell>
        </row>
        <row r="2160">
          <cell r="C2160">
            <v>44415</v>
          </cell>
          <cell r="N2160">
            <v>477</v>
          </cell>
          <cell r="O2160">
            <v>100</v>
          </cell>
          <cell r="AP2160">
            <v>1284</v>
          </cell>
        </row>
        <row r="2161">
          <cell r="C2161">
            <v>44415</v>
          </cell>
          <cell r="N2161">
            <v>477</v>
          </cell>
          <cell r="O2161">
            <v>100</v>
          </cell>
          <cell r="AP2161">
            <v>1280</v>
          </cell>
        </row>
        <row r="2162">
          <cell r="C2162">
            <v>44415</v>
          </cell>
          <cell r="N2162">
            <v>477</v>
          </cell>
          <cell r="O2162">
            <v>100</v>
          </cell>
          <cell r="AP2162">
            <v>1177</v>
          </cell>
        </row>
        <row r="2163">
          <cell r="C2163">
            <v>44415</v>
          </cell>
          <cell r="N2163">
            <v>477</v>
          </cell>
          <cell r="O2163">
            <v>100</v>
          </cell>
          <cell r="AP2163">
            <v>1319</v>
          </cell>
        </row>
        <row r="2164">
          <cell r="C2164">
            <v>44415</v>
          </cell>
          <cell r="N2164">
            <v>477.09097222222226</v>
          </cell>
          <cell r="O2164">
            <v>100</v>
          </cell>
          <cell r="AP2164">
            <v>1221</v>
          </cell>
        </row>
        <row r="2165">
          <cell r="C2165">
            <v>44415</v>
          </cell>
          <cell r="N2165">
            <v>477</v>
          </cell>
          <cell r="O2165">
            <v>100</v>
          </cell>
          <cell r="AP2165">
            <v>1126</v>
          </cell>
        </row>
        <row r="2166">
          <cell r="C2166">
            <v>44415</v>
          </cell>
          <cell r="N2166">
            <v>477</v>
          </cell>
          <cell r="O2166">
            <v>100</v>
          </cell>
          <cell r="AP2166">
            <v>1292</v>
          </cell>
        </row>
        <row r="2167">
          <cell r="C2167">
            <v>44415</v>
          </cell>
          <cell r="N2167">
            <v>477</v>
          </cell>
          <cell r="O2167">
            <v>100</v>
          </cell>
          <cell r="AP2167">
            <v>1184</v>
          </cell>
        </row>
        <row r="2168">
          <cell r="C2168">
            <v>44415</v>
          </cell>
          <cell r="N2168">
            <v>477</v>
          </cell>
          <cell r="O2168">
            <v>100</v>
          </cell>
          <cell r="AP2168">
            <v>1093</v>
          </cell>
        </row>
        <row r="2169">
          <cell r="C2169">
            <v>44415</v>
          </cell>
          <cell r="N2169">
            <v>477</v>
          </cell>
          <cell r="O2169">
            <v>100</v>
          </cell>
          <cell r="AP2169">
            <v>1251</v>
          </cell>
        </row>
        <row r="2170">
          <cell r="C2170">
            <v>44415</v>
          </cell>
          <cell r="N2170">
            <v>477</v>
          </cell>
          <cell r="O2170">
            <v>100</v>
          </cell>
          <cell r="AP2170">
            <v>1257</v>
          </cell>
        </row>
        <row r="2171">
          <cell r="C2171">
            <v>44415</v>
          </cell>
          <cell r="N2171">
            <v>477</v>
          </cell>
          <cell r="O2171">
            <v>100</v>
          </cell>
          <cell r="AP2171">
            <v>1170</v>
          </cell>
        </row>
        <row r="2172">
          <cell r="C2172">
            <v>44415</v>
          </cell>
          <cell r="N2172">
            <v>477</v>
          </cell>
          <cell r="O2172">
            <v>100</v>
          </cell>
          <cell r="AP2172">
            <v>1272</v>
          </cell>
        </row>
        <row r="2173">
          <cell r="C2173">
            <v>44415</v>
          </cell>
          <cell r="N2173">
            <v>477</v>
          </cell>
          <cell r="O2173">
            <v>100</v>
          </cell>
          <cell r="AP2173">
            <v>1268</v>
          </cell>
        </row>
        <row r="2174">
          <cell r="C2174">
            <v>44415</v>
          </cell>
          <cell r="N2174">
            <v>477</v>
          </cell>
          <cell r="O2174">
            <v>100</v>
          </cell>
          <cell r="AP2174">
            <v>1179</v>
          </cell>
        </row>
        <row r="2175">
          <cell r="C2175">
            <v>44415</v>
          </cell>
          <cell r="N2175">
            <v>477</v>
          </cell>
          <cell r="O2175">
            <v>100</v>
          </cell>
          <cell r="AP2175">
            <v>1282</v>
          </cell>
        </row>
        <row r="2176">
          <cell r="C2176">
            <v>44415</v>
          </cell>
          <cell r="N2176">
            <v>477</v>
          </cell>
          <cell r="O2176">
            <v>100</v>
          </cell>
          <cell r="AP2176">
            <v>1265</v>
          </cell>
        </row>
        <row r="2177">
          <cell r="C2177">
            <v>44415</v>
          </cell>
          <cell r="N2177">
            <v>477</v>
          </cell>
          <cell r="O2177">
            <v>100</v>
          </cell>
          <cell r="AP2177">
            <v>1177</v>
          </cell>
        </row>
        <row r="2178">
          <cell r="C2178">
            <v>44415</v>
          </cell>
          <cell r="N2178">
            <v>477</v>
          </cell>
          <cell r="O2178">
            <v>100</v>
          </cell>
          <cell r="AP2178">
            <v>1280</v>
          </cell>
        </row>
        <row r="2179">
          <cell r="C2179">
            <v>44415</v>
          </cell>
          <cell r="N2179">
            <v>477</v>
          </cell>
          <cell r="O2179">
            <v>100</v>
          </cell>
          <cell r="AP2179">
            <v>1282</v>
          </cell>
        </row>
        <row r="2180">
          <cell r="C2180">
            <v>44415</v>
          </cell>
          <cell r="N2180">
            <v>477</v>
          </cell>
          <cell r="O2180">
            <v>100</v>
          </cell>
          <cell r="AP2180">
            <v>1193</v>
          </cell>
        </row>
        <row r="2181">
          <cell r="C2181">
            <v>44415</v>
          </cell>
          <cell r="N2181">
            <v>477</v>
          </cell>
          <cell r="O2181">
            <v>100</v>
          </cell>
          <cell r="AP2181">
            <v>1297</v>
          </cell>
        </row>
        <row r="2182">
          <cell r="C2182">
            <v>44415</v>
          </cell>
          <cell r="N2182">
            <v>485</v>
          </cell>
          <cell r="O2182">
            <v>100</v>
          </cell>
          <cell r="AP2182">
            <v>1198</v>
          </cell>
        </row>
        <row r="2183">
          <cell r="C2183">
            <v>44415</v>
          </cell>
          <cell r="N2183">
            <v>485</v>
          </cell>
          <cell r="O2183">
            <v>100</v>
          </cell>
          <cell r="AP2183">
            <v>1355</v>
          </cell>
        </row>
        <row r="2184">
          <cell r="C2184">
            <v>44415</v>
          </cell>
          <cell r="N2184">
            <v>485</v>
          </cell>
          <cell r="O2184">
            <v>100</v>
          </cell>
          <cell r="AP2184">
            <v>1188</v>
          </cell>
        </row>
        <row r="2185">
          <cell r="C2185">
            <v>44415</v>
          </cell>
          <cell r="N2185">
            <v>485</v>
          </cell>
          <cell r="O2185">
            <v>100</v>
          </cell>
          <cell r="AP2185">
            <v>1201</v>
          </cell>
        </row>
        <row r="2186">
          <cell r="C2186">
            <v>44415</v>
          </cell>
          <cell r="N2186">
            <v>485</v>
          </cell>
          <cell r="O2186">
            <v>100</v>
          </cell>
          <cell r="AP2186">
            <v>1361</v>
          </cell>
        </row>
        <row r="2187">
          <cell r="C2187">
            <v>44415</v>
          </cell>
          <cell r="N2187">
            <v>485</v>
          </cell>
          <cell r="O2187">
            <v>100</v>
          </cell>
          <cell r="AP2187">
            <v>1192</v>
          </cell>
        </row>
        <row r="2188">
          <cell r="C2188">
            <v>44415</v>
          </cell>
          <cell r="N2188">
            <v>485</v>
          </cell>
          <cell r="O2188">
            <v>100</v>
          </cell>
          <cell r="AP2188">
            <v>1228</v>
          </cell>
        </row>
        <row r="2189">
          <cell r="C2189">
            <v>44415</v>
          </cell>
          <cell r="N2189">
            <v>485</v>
          </cell>
          <cell r="O2189">
            <v>100</v>
          </cell>
          <cell r="AP2189">
            <v>1394</v>
          </cell>
        </row>
        <row r="2190">
          <cell r="C2190">
            <v>44415</v>
          </cell>
          <cell r="N2190">
            <v>485</v>
          </cell>
          <cell r="O2190">
            <v>100</v>
          </cell>
          <cell r="AP2190">
            <v>1222</v>
          </cell>
        </row>
        <row r="2191">
          <cell r="C2191">
            <v>44415</v>
          </cell>
          <cell r="N2191">
            <v>485</v>
          </cell>
          <cell r="O2191">
            <v>100</v>
          </cell>
          <cell r="AP2191">
            <v>1297</v>
          </cell>
        </row>
        <row r="2192">
          <cell r="C2192">
            <v>44415</v>
          </cell>
          <cell r="N2192">
            <v>485</v>
          </cell>
          <cell r="O2192">
            <v>100</v>
          </cell>
          <cell r="AP2192">
            <v>1470</v>
          </cell>
        </row>
        <row r="2193">
          <cell r="C2193">
            <v>44415</v>
          </cell>
          <cell r="N2193">
            <v>485</v>
          </cell>
          <cell r="O2193">
            <v>100</v>
          </cell>
          <cell r="AP2193">
            <v>1289</v>
          </cell>
        </row>
        <row r="2194">
          <cell r="C2194">
            <v>44415</v>
          </cell>
          <cell r="N2194">
            <v>485</v>
          </cell>
          <cell r="O2194">
            <v>100</v>
          </cell>
          <cell r="AP2194">
            <v>1309</v>
          </cell>
        </row>
        <row r="2195">
          <cell r="C2195">
            <v>44415</v>
          </cell>
          <cell r="N2195">
            <v>485</v>
          </cell>
          <cell r="O2195">
            <v>100</v>
          </cell>
          <cell r="AP2195">
            <v>1485</v>
          </cell>
        </row>
        <row r="2196">
          <cell r="C2196">
            <v>44415</v>
          </cell>
          <cell r="N2196">
            <v>485</v>
          </cell>
          <cell r="O2196">
            <v>100</v>
          </cell>
          <cell r="AP2196">
            <v>1305</v>
          </cell>
        </row>
        <row r="2197">
          <cell r="C2197">
            <v>44415</v>
          </cell>
          <cell r="N2197">
            <v>485</v>
          </cell>
          <cell r="O2197">
            <v>100</v>
          </cell>
          <cell r="AP2197">
            <v>1236</v>
          </cell>
        </row>
        <row r="2198">
          <cell r="C2198">
            <v>44415</v>
          </cell>
          <cell r="N2198">
            <v>485</v>
          </cell>
          <cell r="O2198">
            <v>100</v>
          </cell>
          <cell r="AP2198">
            <v>1407</v>
          </cell>
        </row>
        <row r="2199">
          <cell r="C2199">
            <v>44415</v>
          </cell>
          <cell r="N2199">
            <v>485</v>
          </cell>
          <cell r="O2199">
            <v>100</v>
          </cell>
          <cell r="AP2199">
            <v>1231</v>
          </cell>
        </row>
        <row r="2200">
          <cell r="C2200">
            <v>44415</v>
          </cell>
          <cell r="N2200">
            <v>485</v>
          </cell>
          <cell r="O2200">
            <v>100</v>
          </cell>
          <cell r="AP2200">
            <v>1241</v>
          </cell>
        </row>
        <row r="2201">
          <cell r="C2201">
            <v>44415</v>
          </cell>
          <cell r="N2201">
            <v>485</v>
          </cell>
          <cell r="O2201">
            <v>100</v>
          </cell>
          <cell r="AP2201">
            <v>1410</v>
          </cell>
        </row>
        <row r="2202">
          <cell r="C2202">
            <v>44415</v>
          </cell>
          <cell r="N2202">
            <v>485</v>
          </cell>
          <cell r="O2202">
            <v>100</v>
          </cell>
          <cell r="AP2202">
            <v>1235</v>
          </cell>
        </row>
        <row r="2203">
          <cell r="C2203">
            <v>44415</v>
          </cell>
          <cell r="N2203">
            <v>485</v>
          </cell>
          <cell r="O2203">
            <v>100</v>
          </cell>
          <cell r="AP2203">
            <v>1184</v>
          </cell>
        </row>
        <row r="2204">
          <cell r="C2204">
            <v>44415</v>
          </cell>
          <cell r="N2204">
            <v>485</v>
          </cell>
          <cell r="O2204">
            <v>100</v>
          </cell>
          <cell r="AP2204">
            <v>1345</v>
          </cell>
        </row>
        <row r="2205">
          <cell r="C2205">
            <v>44415</v>
          </cell>
          <cell r="N2205">
            <v>485</v>
          </cell>
          <cell r="O2205">
            <v>100</v>
          </cell>
          <cell r="AP2205">
            <v>1178</v>
          </cell>
        </row>
        <row r="2206">
          <cell r="C2206">
            <v>44415</v>
          </cell>
          <cell r="N2206">
            <v>485</v>
          </cell>
          <cell r="O2206">
            <v>100</v>
          </cell>
          <cell r="AP2206">
            <v>1248</v>
          </cell>
        </row>
        <row r="2207">
          <cell r="C2207">
            <v>44415</v>
          </cell>
          <cell r="N2207">
            <v>485</v>
          </cell>
          <cell r="O2207">
            <v>100</v>
          </cell>
          <cell r="AP2207">
            <v>1415</v>
          </cell>
        </row>
        <row r="2208">
          <cell r="C2208">
            <v>44415</v>
          </cell>
          <cell r="N2208">
            <v>485</v>
          </cell>
          <cell r="O2208">
            <v>100</v>
          </cell>
          <cell r="AP2208">
            <v>1241</v>
          </cell>
        </row>
        <row r="2209">
          <cell r="C2209">
            <v>44415</v>
          </cell>
          <cell r="N2209">
            <v>485</v>
          </cell>
          <cell r="O2209">
            <v>100</v>
          </cell>
          <cell r="AP2209">
            <v>1240</v>
          </cell>
        </row>
        <row r="2210">
          <cell r="C2210">
            <v>44415</v>
          </cell>
          <cell r="N2210">
            <v>485</v>
          </cell>
          <cell r="O2210">
            <v>100</v>
          </cell>
          <cell r="AP2210">
            <v>1401</v>
          </cell>
        </row>
        <row r="2211">
          <cell r="C2211">
            <v>44415</v>
          </cell>
          <cell r="N2211">
            <v>485</v>
          </cell>
          <cell r="O2211">
            <v>100</v>
          </cell>
          <cell r="AP2211">
            <v>1232</v>
          </cell>
        </row>
        <row r="2212">
          <cell r="C2212">
            <v>44415</v>
          </cell>
          <cell r="N2212">
            <v>477</v>
          </cell>
          <cell r="O2212">
            <v>100</v>
          </cell>
          <cell r="AP2212">
            <v>1204</v>
          </cell>
        </row>
        <row r="2213">
          <cell r="C2213">
            <v>44415</v>
          </cell>
          <cell r="N2213">
            <v>477</v>
          </cell>
          <cell r="O2213">
            <v>100</v>
          </cell>
          <cell r="AP2213">
            <v>1115</v>
          </cell>
        </row>
        <row r="2214">
          <cell r="C2214">
            <v>44415</v>
          </cell>
          <cell r="N2214">
            <v>477</v>
          </cell>
          <cell r="O2214">
            <v>100</v>
          </cell>
          <cell r="AP2214">
            <v>1193</v>
          </cell>
        </row>
        <row r="2215">
          <cell r="C2215">
            <v>44416</v>
          </cell>
          <cell r="N2215">
            <v>477</v>
          </cell>
          <cell r="O2215">
            <v>100</v>
          </cell>
          <cell r="AP2215">
            <v>1269</v>
          </cell>
        </row>
        <row r="2216">
          <cell r="C2216">
            <v>44416</v>
          </cell>
          <cell r="N2216">
            <v>477</v>
          </cell>
          <cell r="O2216">
            <v>100</v>
          </cell>
          <cell r="AP2216">
            <v>1183</v>
          </cell>
        </row>
        <row r="2217">
          <cell r="C2217">
            <v>44416</v>
          </cell>
          <cell r="N2217">
            <v>477</v>
          </cell>
          <cell r="O2217">
            <v>100</v>
          </cell>
          <cell r="AP2217">
            <v>1282</v>
          </cell>
        </row>
        <row r="2218">
          <cell r="C2218">
            <v>44416</v>
          </cell>
          <cell r="N2218">
            <v>477</v>
          </cell>
          <cell r="O2218">
            <v>100</v>
          </cell>
          <cell r="AP2218">
            <v>1280</v>
          </cell>
        </row>
        <row r="2219">
          <cell r="C2219">
            <v>44416</v>
          </cell>
          <cell r="N2219">
            <v>477</v>
          </cell>
          <cell r="O2219">
            <v>100</v>
          </cell>
          <cell r="AP2219">
            <v>1191</v>
          </cell>
        </row>
        <row r="2220">
          <cell r="C2220">
            <v>44416</v>
          </cell>
          <cell r="N2220">
            <v>477</v>
          </cell>
          <cell r="O2220">
            <v>100</v>
          </cell>
          <cell r="AP2220">
            <v>1293</v>
          </cell>
        </row>
        <row r="2221">
          <cell r="C2221">
            <v>44416</v>
          </cell>
          <cell r="N2221">
            <v>477</v>
          </cell>
          <cell r="O2221">
            <v>100</v>
          </cell>
          <cell r="AP2221">
            <v>1290</v>
          </cell>
        </row>
        <row r="2222">
          <cell r="C2222">
            <v>44416</v>
          </cell>
          <cell r="N2222">
            <v>477</v>
          </cell>
          <cell r="O2222">
            <v>100</v>
          </cell>
          <cell r="AP2222">
            <v>1202</v>
          </cell>
        </row>
        <row r="2223">
          <cell r="C2223">
            <v>44416</v>
          </cell>
          <cell r="N2223">
            <v>477</v>
          </cell>
          <cell r="O2223">
            <v>100</v>
          </cell>
          <cell r="AP2223">
            <v>1305</v>
          </cell>
        </row>
        <row r="2224">
          <cell r="C2224">
            <v>44416</v>
          </cell>
          <cell r="N2224">
            <v>476</v>
          </cell>
          <cell r="O2224">
            <v>100</v>
          </cell>
          <cell r="AP2224">
            <v>1249</v>
          </cell>
        </row>
        <row r="2225">
          <cell r="C2225">
            <v>44416</v>
          </cell>
          <cell r="N2225">
            <v>476</v>
          </cell>
          <cell r="O2225">
            <v>100</v>
          </cell>
          <cell r="AP2225">
            <v>1215</v>
          </cell>
        </row>
        <row r="2226">
          <cell r="C2226">
            <v>44416</v>
          </cell>
          <cell r="N2226">
            <v>476</v>
          </cell>
          <cell r="O2226">
            <v>100</v>
          </cell>
          <cell r="AP2226">
            <v>1320</v>
          </cell>
        </row>
        <row r="2227">
          <cell r="C2227">
            <v>44416</v>
          </cell>
          <cell r="N2227">
            <v>476</v>
          </cell>
          <cell r="O2227">
            <v>100</v>
          </cell>
          <cell r="AP2227">
            <v>1244</v>
          </cell>
        </row>
        <row r="2228">
          <cell r="C2228">
            <v>44416</v>
          </cell>
          <cell r="N2228">
            <v>476</v>
          </cell>
          <cell r="O2228">
            <v>100</v>
          </cell>
          <cell r="AP2228">
            <v>1211</v>
          </cell>
        </row>
        <row r="2229">
          <cell r="C2229">
            <v>44416</v>
          </cell>
          <cell r="N2229">
            <v>476</v>
          </cell>
          <cell r="O2229">
            <v>100</v>
          </cell>
          <cell r="AP2229">
            <v>1317</v>
          </cell>
        </row>
        <row r="2230">
          <cell r="C2230">
            <v>44416</v>
          </cell>
          <cell r="N2230">
            <v>476</v>
          </cell>
          <cell r="O2230">
            <v>100</v>
          </cell>
          <cell r="AP2230">
            <v>1253</v>
          </cell>
        </row>
        <row r="2231">
          <cell r="C2231">
            <v>44416</v>
          </cell>
          <cell r="N2231">
            <v>476</v>
          </cell>
          <cell r="O2231">
            <v>100</v>
          </cell>
          <cell r="AP2231">
            <v>1222</v>
          </cell>
        </row>
        <row r="2232">
          <cell r="C2232">
            <v>44416</v>
          </cell>
          <cell r="N2232">
            <v>476</v>
          </cell>
          <cell r="O2232">
            <v>100</v>
          </cell>
          <cell r="AP2232">
            <v>1327</v>
          </cell>
        </row>
        <row r="2233">
          <cell r="C2233">
            <v>44415</v>
          </cell>
          <cell r="N2233">
            <v>476</v>
          </cell>
          <cell r="O2233">
            <v>100</v>
          </cell>
          <cell r="AP2233">
            <v>1236</v>
          </cell>
        </row>
        <row r="2234">
          <cell r="C2234">
            <v>44415</v>
          </cell>
          <cell r="N2234">
            <v>476</v>
          </cell>
          <cell r="O2234">
            <v>100</v>
          </cell>
          <cell r="AP2234">
            <v>1197</v>
          </cell>
        </row>
        <row r="2235">
          <cell r="C2235">
            <v>44415</v>
          </cell>
          <cell r="N2235">
            <v>476</v>
          </cell>
          <cell r="O2235">
            <v>100</v>
          </cell>
          <cell r="AP2235">
            <v>1306</v>
          </cell>
        </row>
        <row r="2236">
          <cell r="C2236">
            <v>44416</v>
          </cell>
          <cell r="N2236">
            <v>476</v>
          </cell>
          <cell r="O2236">
            <v>100</v>
          </cell>
          <cell r="AP2236">
            <v>1237</v>
          </cell>
        </row>
        <row r="2237">
          <cell r="C2237">
            <v>44416</v>
          </cell>
          <cell r="N2237">
            <v>476</v>
          </cell>
          <cell r="O2237">
            <v>100</v>
          </cell>
          <cell r="AP2237">
            <v>1205</v>
          </cell>
        </row>
        <row r="2238">
          <cell r="C2238">
            <v>44416</v>
          </cell>
          <cell r="N2238">
            <v>476</v>
          </cell>
          <cell r="O2238">
            <v>100</v>
          </cell>
          <cell r="AP2238">
            <v>1310</v>
          </cell>
        </row>
        <row r="2239">
          <cell r="C2239">
            <v>44416</v>
          </cell>
          <cell r="N2239">
            <v>476</v>
          </cell>
          <cell r="O2239">
            <v>100</v>
          </cell>
          <cell r="AP2239">
            <v>1212</v>
          </cell>
        </row>
        <row r="2240">
          <cell r="C2240">
            <v>44416</v>
          </cell>
          <cell r="N2240">
            <v>476</v>
          </cell>
          <cell r="O2240">
            <v>100</v>
          </cell>
          <cell r="AP2240">
            <v>1179</v>
          </cell>
        </row>
        <row r="2241">
          <cell r="C2241">
            <v>44416</v>
          </cell>
          <cell r="N2241">
            <v>476</v>
          </cell>
          <cell r="O2241">
            <v>100</v>
          </cell>
          <cell r="AP2241">
            <v>1280</v>
          </cell>
        </row>
        <row r="2242">
          <cell r="C2242">
            <v>44416</v>
          </cell>
          <cell r="N2242">
            <v>476</v>
          </cell>
          <cell r="O2242">
            <v>100</v>
          </cell>
          <cell r="AP2242">
            <v>1215</v>
          </cell>
        </row>
        <row r="2243">
          <cell r="C2243">
            <v>44416</v>
          </cell>
          <cell r="N2243">
            <v>476</v>
          </cell>
          <cell r="O2243">
            <v>100</v>
          </cell>
          <cell r="AP2243">
            <v>1182</v>
          </cell>
        </row>
        <row r="2244">
          <cell r="C2244">
            <v>44416</v>
          </cell>
          <cell r="N2244">
            <v>476</v>
          </cell>
          <cell r="O2244">
            <v>100</v>
          </cell>
          <cell r="AP2244">
            <v>1284</v>
          </cell>
        </row>
        <row r="2245">
          <cell r="C2245">
            <v>44416</v>
          </cell>
          <cell r="N2245">
            <v>476</v>
          </cell>
          <cell r="O2245">
            <v>100</v>
          </cell>
          <cell r="AP2245">
            <v>1219</v>
          </cell>
        </row>
        <row r="2246">
          <cell r="C2246">
            <v>44416</v>
          </cell>
          <cell r="N2246">
            <v>476</v>
          </cell>
          <cell r="O2246">
            <v>100</v>
          </cell>
          <cell r="AP2246">
            <v>1186</v>
          </cell>
        </row>
        <row r="2247">
          <cell r="C2247">
            <v>44416</v>
          </cell>
          <cell r="N2247">
            <v>476</v>
          </cell>
          <cell r="O2247">
            <v>100</v>
          </cell>
          <cell r="AP2247">
            <v>1288</v>
          </cell>
        </row>
        <row r="2248">
          <cell r="C2248">
            <v>44416</v>
          </cell>
          <cell r="N2248">
            <v>484</v>
          </cell>
          <cell r="O2248">
            <v>100</v>
          </cell>
          <cell r="AP2248">
            <v>1147</v>
          </cell>
        </row>
        <row r="2249">
          <cell r="C2249">
            <v>44416</v>
          </cell>
          <cell r="N2249">
            <v>484</v>
          </cell>
          <cell r="O2249">
            <v>100</v>
          </cell>
          <cell r="AP2249">
            <v>723</v>
          </cell>
        </row>
        <row r="2250">
          <cell r="C2250">
            <v>44416</v>
          </cell>
          <cell r="N2250">
            <v>484</v>
          </cell>
          <cell r="O2250">
            <v>100</v>
          </cell>
          <cell r="AP2250">
            <v>706</v>
          </cell>
        </row>
        <row r="2251">
          <cell r="C2251">
            <v>44416</v>
          </cell>
          <cell r="N2251">
            <v>484</v>
          </cell>
          <cell r="O2251">
            <v>100</v>
          </cell>
          <cell r="AP2251">
            <v>1198</v>
          </cell>
        </row>
        <row r="2252">
          <cell r="C2252">
            <v>44416</v>
          </cell>
          <cell r="N2252">
            <v>484</v>
          </cell>
          <cell r="O2252">
            <v>100</v>
          </cell>
          <cell r="AP2252">
            <v>1141</v>
          </cell>
        </row>
        <row r="2253">
          <cell r="C2253">
            <v>44416</v>
          </cell>
          <cell r="N2253">
            <v>484</v>
          </cell>
          <cell r="O2253">
            <v>100</v>
          </cell>
          <cell r="AP2253">
            <v>720</v>
          </cell>
        </row>
        <row r="2254">
          <cell r="C2254">
            <v>44416</v>
          </cell>
          <cell r="N2254">
            <v>484</v>
          </cell>
          <cell r="O2254">
            <v>100</v>
          </cell>
          <cell r="AP2254">
            <v>703</v>
          </cell>
        </row>
        <row r="2255">
          <cell r="C2255">
            <v>44416</v>
          </cell>
          <cell r="N2255">
            <v>484</v>
          </cell>
          <cell r="O2255">
            <v>100</v>
          </cell>
          <cell r="AP2255">
            <v>1193</v>
          </cell>
        </row>
        <row r="2256">
          <cell r="C2256">
            <v>44416</v>
          </cell>
          <cell r="N2256">
            <v>484</v>
          </cell>
          <cell r="O2256">
            <v>100</v>
          </cell>
          <cell r="AP2256">
            <v>1156</v>
          </cell>
        </row>
        <row r="2257">
          <cell r="C2257">
            <v>44416</v>
          </cell>
          <cell r="N2257">
            <v>484</v>
          </cell>
          <cell r="O2257">
            <v>100</v>
          </cell>
          <cell r="AP2257">
            <v>731</v>
          </cell>
        </row>
        <row r="2258">
          <cell r="C2258">
            <v>44416</v>
          </cell>
          <cell r="N2258">
            <v>484</v>
          </cell>
          <cell r="O2258">
            <v>100</v>
          </cell>
          <cell r="AP2258">
            <v>712</v>
          </cell>
        </row>
        <row r="2259">
          <cell r="C2259">
            <v>44416</v>
          </cell>
          <cell r="N2259">
            <v>484</v>
          </cell>
          <cell r="O2259">
            <v>100</v>
          </cell>
          <cell r="AP2259">
            <v>1209</v>
          </cell>
        </row>
        <row r="2260">
          <cell r="C2260">
            <v>44414</v>
          </cell>
          <cell r="N2260">
            <v>485</v>
          </cell>
          <cell r="O2260">
            <v>125</v>
          </cell>
          <cell r="AP2260">
            <v>1017</v>
          </cell>
        </row>
        <row r="2261">
          <cell r="C2261">
            <v>44414</v>
          </cell>
          <cell r="N2261">
            <v>485</v>
          </cell>
          <cell r="O2261">
            <v>125</v>
          </cell>
          <cell r="AP2261">
            <v>977</v>
          </cell>
        </row>
        <row r="2262">
          <cell r="C2262">
            <v>44414</v>
          </cell>
          <cell r="N2262">
            <v>485</v>
          </cell>
          <cell r="O2262">
            <v>125</v>
          </cell>
          <cell r="AP2262">
            <v>977</v>
          </cell>
        </row>
        <row r="2263">
          <cell r="C2263">
            <v>44414</v>
          </cell>
          <cell r="N2263">
            <v>485</v>
          </cell>
          <cell r="O2263">
            <v>125</v>
          </cell>
          <cell r="AP2263">
            <v>1135</v>
          </cell>
        </row>
        <row r="2264">
          <cell r="C2264">
            <v>44414</v>
          </cell>
          <cell r="N2264">
            <v>485</v>
          </cell>
          <cell r="O2264">
            <v>125</v>
          </cell>
          <cell r="AP2264">
            <v>1026</v>
          </cell>
        </row>
        <row r="2265">
          <cell r="C2265">
            <v>44414</v>
          </cell>
          <cell r="N2265">
            <v>485</v>
          </cell>
          <cell r="O2265">
            <v>125</v>
          </cell>
          <cell r="AP2265">
            <v>984</v>
          </cell>
        </row>
        <row r="2266">
          <cell r="C2266">
            <v>44414</v>
          </cell>
          <cell r="N2266">
            <v>485</v>
          </cell>
          <cell r="O2266">
            <v>125</v>
          </cell>
          <cell r="AP2266">
            <v>982</v>
          </cell>
        </row>
        <row r="2267">
          <cell r="C2267">
            <v>44414</v>
          </cell>
          <cell r="N2267">
            <v>485</v>
          </cell>
          <cell r="O2267">
            <v>125</v>
          </cell>
          <cell r="AP2267">
            <v>1142</v>
          </cell>
        </row>
        <row r="2268">
          <cell r="C2268">
            <v>44416</v>
          </cell>
          <cell r="N2268">
            <v>484</v>
          </cell>
          <cell r="O2268">
            <v>100</v>
          </cell>
          <cell r="AP2268">
            <v>1151</v>
          </cell>
        </row>
        <row r="2269">
          <cell r="C2269">
            <v>44416</v>
          </cell>
          <cell r="N2269">
            <v>484</v>
          </cell>
          <cell r="O2269">
            <v>100</v>
          </cell>
          <cell r="AP2269">
            <v>725</v>
          </cell>
        </row>
        <row r="2270">
          <cell r="C2270">
            <v>44416</v>
          </cell>
          <cell r="N2270">
            <v>484</v>
          </cell>
          <cell r="O2270">
            <v>100</v>
          </cell>
          <cell r="AP2270">
            <v>709</v>
          </cell>
        </row>
        <row r="2271">
          <cell r="C2271">
            <v>44416</v>
          </cell>
          <cell r="N2271">
            <v>484</v>
          </cell>
          <cell r="O2271">
            <v>100</v>
          </cell>
          <cell r="AP2271">
            <v>1203</v>
          </cell>
        </row>
        <row r="2272">
          <cell r="C2272">
            <v>44416</v>
          </cell>
          <cell r="N2272">
            <v>484</v>
          </cell>
          <cell r="O2272">
            <v>100</v>
          </cell>
          <cell r="AP2272">
            <v>1157</v>
          </cell>
        </row>
        <row r="2273">
          <cell r="C2273">
            <v>44416</v>
          </cell>
          <cell r="N2273">
            <v>484</v>
          </cell>
          <cell r="O2273">
            <v>100</v>
          </cell>
          <cell r="AP2273">
            <v>730</v>
          </cell>
        </row>
        <row r="2274">
          <cell r="C2274">
            <v>44416</v>
          </cell>
          <cell r="N2274">
            <v>484</v>
          </cell>
          <cell r="O2274">
            <v>100</v>
          </cell>
          <cell r="AP2274">
            <v>714</v>
          </cell>
        </row>
        <row r="2275">
          <cell r="C2275">
            <v>44416</v>
          </cell>
          <cell r="N2275">
            <v>484</v>
          </cell>
          <cell r="O2275">
            <v>100</v>
          </cell>
          <cell r="AP2275">
            <v>1212</v>
          </cell>
        </row>
        <row r="2276">
          <cell r="C2276">
            <v>44416</v>
          </cell>
          <cell r="N2276">
            <v>484</v>
          </cell>
          <cell r="O2276">
            <v>100</v>
          </cell>
          <cell r="AP2276">
            <v>1131</v>
          </cell>
        </row>
        <row r="2277">
          <cell r="C2277">
            <v>44416</v>
          </cell>
          <cell r="N2277">
            <v>484</v>
          </cell>
          <cell r="O2277">
            <v>100</v>
          </cell>
          <cell r="AP2277">
            <v>713</v>
          </cell>
        </row>
        <row r="2278">
          <cell r="C2278">
            <v>44416</v>
          </cell>
          <cell r="N2278">
            <v>484</v>
          </cell>
          <cell r="O2278">
            <v>100</v>
          </cell>
          <cell r="AP2278">
            <v>698</v>
          </cell>
        </row>
        <row r="2279">
          <cell r="C2279">
            <v>44416</v>
          </cell>
          <cell r="N2279">
            <v>484</v>
          </cell>
          <cell r="O2279">
            <v>100</v>
          </cell>
          <cell r="AP2279">
            <v>1185</v>
          </cell>
        </row>
        <row r="2280">
          <cell r="C2280">
            <v>44416</v>
          </cell>
          <cell r="N2280">
            <v>484</v>
          </cell>
          <cell r="O2280">
            <v>100</v>
          </cell>
          <cell r="AP2280">
            <v>1143</v>
          </cell>
        </row>
        <row r="2281">
          <cell r="C2281">
            <v>44416</v>
          </cell>
          <cell r="N2281">
            <v>484</v>
          </cell>
          <cell r="O2281">
            <v>100</v>
          </cell>
          <cell r="AP2281">
            <v>721</v>
          </cell>
        </row>
        <row r="2282">
          <cell r="C2282">
            <v>44416</v>
          </cell>
          <cell r="N2282">
            <v>484</v>
          </cell>
          <cell r="O2282">
            <v>100</v>
          </cell>
          <cell r="AP2282">
            <v>706</v>
          </cell>
        </row>
        <row r="2283">
          <cell r="C2283">
            <v>44416</v>
          </cell>
          <cell r="N2283">
            <v>484</v>
          </cell>
          <cell r="O2283">
            <v>100</v>
          </cell>
          <cell r="AP2283">
            <v>1195</v>
          </cell>
        </row>
        <row r="2284">
          <cell r="C2284">
            <v>44416</v>
          </cell>
          <cell r="N2284">
            <v>484</v>
          </cell>
          <cell r="O2284">
            <v>100</v>
          </cell>
          <cell r="AP2284">
            <v>1149</v>
          </cell>
        </row>
        <row r="2285">
          <cell r="C2285">
            <v>44416</v>
          </cell>
          <cell r="N2285">
            <v>484</v>
          </cell>
          <cell r="O2285">
            <v>100</v>
          </cell>
          <cell r="AP2285">
            <v>725</v>
          </cell>
        </row>
        <row r="2286">
          <cell r="C2286">
            <v>44416</v>
          </cell>
          <cell r="N2286">
            <v>484</v>
          </cell>
          <cell r="O2286">
            <v>100</v>
          </cell>
          <cell r="AP2286">
            <v>709</v>
          </cell>
        </row>
        <row r="2287">
          <cell r="C2287">
            <v>44416</v>
          </cell>
          <cell r="N2287">
            <v>484</v>
          </cell>
          <cell r="O2287">
            <v>100</v>
          </cell>
          <cell r="AP2287">
            <v>1202</v>
          </cell>
        </row>
        <row r="2288">
          <cell r="C2288">
            <v>44416</v>
          </cell>
          <cell r="N2288">
            <v>479</v>
          </cell>
          <cell r="O2288">
            <v>100</v>
          </cell>
          <cell r="AP2288">
            <v>1069</v>
          </cell>
        </row>
        <row r="2289">
          <cell r="C2289">
            <v>44416</v>
          </cell>
          <cell r="N2289">
            <v>479</v>
          </cell>
          <cell r="O2289">
            <v>100</v>
          </cell>
          <cell r="AP2289">
            <v>736</v>
          </cell>
        </row>
        <row r="2290">
          <cell r="C2290">
            <v>44416</v>
          </cell>
          <cell r="N2290">
            <v>479</v>
          </cell>
          <cell r="O2290">
            <v>100</v>
          </cell>
          <cell r="AP2290">
            <v>720</v>
          </cell>
        </row>
        <row r="2291">
          <cell r="C2291">
            <v>44416</v>
          </cell>
          <cell r="N2291">
            <v>479</v>
          </cell>
          <cell r="O2291">
            <v>100</v>
          </cell>
          <cell r="AP2291">
            <v>1082</v>
          </cell>
        </row>
        <row r="2292">
          <cell r="C2292">
            <v>44416</v>
          </cell>
          <cell r="N2292">
            <v>479.41666666666663</v>
          </cell>
          <cell r="O2292">
            <v>100</v>
          </cell>
          <cell r="AP2292">
            <v>1090</v>
          </cell>
        </row>
        <row r="2293">
          <cell r="C2293">
            <v>44416</v>
          </cell>
          <cell r="N2293">
            <v>479</v>
          </cell>
          <cell r="O2293">
            <v>100</v>
          </cell>
          <cell r="AP2293">
            <v>750</v>
          </cell>
        </row>
        <row r="2294">
          <cell r="C2294">
            <v>44416</v>
          </cell>
          <cell r="N2294">
            <v>479</v>
          </cell>
          <cell r="O2294">
            <v>100</v>
          </cell>
          <cell r="AP2294">
            <v>731</v>
          </cell>
        </row>
        <row r="2295">
          <cell r="C2295">
            <v>44416</v>
          </cell>
          <cell r="N2295">
            <v>479</v>
          </cell>
          <cell r="O2295">
            <v>100</v>
          </cell>
          <cell r="AP2295">
            <v>1102</v>
          </cell>
        </row>
        <row r="2296">
          <cell r="C2296">
            <v>44416</v>
          </cell>
          <cell r="N2296">
            <v>479</v>
          </cell>
          <cell r="O2296">
            <v>100</v>
          </cell>
          <cell r="AP2296">
            <v>1088</v>
          </cell>
        </row>
        <row r="2297">
          <cell r="C2297">
            <v>44416</v>
          </cell>
          <cell r="N2297">
            <v>479</v>
          </cell>
          <cell r="O2297">
            <v>100</v>
          </cell>
          <cell r="AP2297">
            <v>749</v>
          </cell>
        </row>
        <row r="2298">
          <cell r="C2298">
            <v>44416</v>
          </cell>
          <cell r="N2298">
            <v>479</v>
          </cell>
          <cell r="O2298">
            <v>100</v>
          </cell>
          <cell r="AP2298">
            <v>732</v>
          </cell>
        </row>
        <row r="2299">
          <cell r="C2299">
            <v>44416</v>
          </cell>
          <cell r="N2299">
            <v>479</v>
          </cell>
          <cell r="O2299">
            <v>100</v>
          </cell>
          <cell r="AP2299">
            <v>1102</v>
          </cell>
        </row>
        <row r="2300">
          <cell r="C2300">
            <v>44416</v>
          </cell>
          <cell r="N2300">
            <v>479</v>
          </cell>
          <cell r="O2300">
            <v>100</v>
          </cell>
          <cell r="AP2300">
            <v>1065</v>
          </cell>
        </row>
        <row r="2301">
          <cell r="C2301">
            <v>44416</v>
          </cell>
          <cell r="N2301">
            <v>479</v>
          </cell>
          <cell r="O2301">
            <v>100</v>
          </cell>
          <cell r="AP2301">
            <v>733</v>
          </cell>
        </row>
        <row r="2302">
          <cell r="C2302">
            <v>44416</v>
          </cell>
          <cell r="N2302">
            <v>479</v>
          </cell>
          <cell r="O2302">
            <v>100</v>
          </cell>
          <cell r="AP2302">
            <v>718</v>
          </cell>
        </row>
        <row r="2303">
          <cell r="C2303">
            <v>44416</v>
          </cell>
          <cell r="N2303">
            <v>479</v>
          </cell>
          <cell r="O2303">
            <v>100</v>
          </cell>
          <cell r="AP2303">
            <v>1079</v>
          </cell>
        </row>
        <row r="2304">
          <cell r="C2304">
            <v>44416</v>
          </cell>
          <cell r="N2304">
            <v>479</v>
          </cell>
          <cell r="O2304">
            <v>100</v>
          </cell>
          <cell r="AP2304">
            <v>1034</v>
          </cell>
        </row>
        <row r="2305">
          <cell r="C2305">
            <v>44416</v>
          </cell>
          <cell r="N2305">
            <v>479</v>
          </cell>
          <cell r="O2305">
            <v>100</v>
          </cell>
          <cell r="AP2305">
            <v>712</v>
          </cell>
        </row>
        <row r="2306">
          <cell r="C2306">
            <v>44416</v>
          </cell>
          <cell r="N2306">
            <v>479</v>
          </cell>
          <cell r="O2306">
            <v>100</v>
          </cell>
          <cell r="AP2306">
            <v>696</v>
          </cell>
        </row>
        <row r="2307">
          <cell r="C2307">
            <v>44416</v>
          </cell>
          <cell r="N2307">
            <v>479</v>
          </cell>
          <cell r="O2307">
            <v>100</v>
          </cell>
          <cell r="AP2307">
            <v>1047</v>
          </cell>
        </row>
        <row r="2308">
          <cell r="C2308">
            <v>44416</v>
          </cell>
          <cell r="N2308">
            <v>479</v>
          </cell>
          <cell r="O2308">
            <v>100</v>
          </cell>
          <cell r="AP2308">
            <v>1045</v>
          </cell>
        </row>
        <row r="2309">
          <cell r="C2309">
            <v>44416</v>
          </cell>
          <cell r="N2309">
            <v>479</v>
          </cell>
          <cell r="O2309">
            <v>100</v>
          </cell>
          <cell r="AP2309">
            <v>720</v>
          </cell>
        </row>
        <row r="2310">
          <cell r="C2310">
            <v>44416</v>
          </cell>
          <cell r="N2310">
            <v>479</v>
          </cell>
          <cell r="O2310">
            <v>100</v>
          </cell>
          <cell r="AP2310">
            <v>705</v>
          </cell>
        </row>
        <row r="2311">
          <cell r="C2311">
            <v>44416</v>
          </cell>
          <cell r="N2311">
            <v>479</v>
          </cell>
          <cell r="O2311">
            <v>100</v>
          </cell>
          <cell r="AP2311">
            <v>1060</v>
          </cell>
        </row>
        <row r="2312">
          <cell r="C2312">
            <v>44416</v>
          </cell>
          <cell r="N2312">
            <v>479</v>
          </cell>
          <cell r="O2312">
            <v>100</v>
          </cell>
          <cell r="AP2312">
            <v>1096</v>
          </cell>
        </row>
        <row r="2313">
          <cell r="C2313">
            <v>44416</v>
          </cell>
          <cell r="N2313">
            <v>479</v>
          </cell>
          <cell r="O2313">
            <v>100</v>
          </cell>
          <cell r="AP2313">
            <v>755</v>
          </cell>
        </row>
        <row r="2314">
          <cell r="C2314">
            <v>44416</v>
          </cell>
          <cell r="N2314">
            <v>479</v>
          </cell>
          <cell r="O2314">
            <v>100</v>
          </cell>
          <cell r="AP2314">
            <v>737</v>
          </cell>
        </row>
        <row r="2315">
          <cell r="C2315">
            <v>44416</v>
          </cell>
          <cell r="N2315">
            <v>479</v>
          </cell>
          <cell r="O2315">
            <v>100</v>
          </cell>
          <cell r="AP2315">
            <v>1110</v>
          </cell>
        </row>
        <row r="2316">
          <cell r="C2316">
            <v>44416</v>
          </cell>
          <cell r="N2316">
            <v>479</v>
          </cell>
          <cell r="O2316">
            <v>100</v>
          </cell>
          <cell r="AP2316">
            <v>1112</v>
          </cell>
        </row>
        <row r="2317">
          <cell r="C2317">
            <v>44416</v>
          </cell>
          <cell r="N2317">
            <v>479</v>
          </cell>
          <cell r="O2317">
            <v>100</v>
          </cell>
          <cell r="AP2317">
            <v>766</v>
          </cell>
        </row>
        <row r="2318">
          <cell r="C2318">
            <v>44416</v>
          </cell>
          <cell r="N2318">
            <v>479</v>
          </cell>
          <cell r="O2318">
            <v>100</v>
          </cell>
          <cell r="AP2318">
            <v>750</v>
          </cell>
        </row>
        <row r="2319">
          <cell r="C2319">
            <v>44416</v>
          </cell>
          <cell r="N2319">
            <v>479</v>
          </cell>
          <cell r="O2319">
            <v>100</v>
          </cell>
          <cell r="AP2319">
            <v>1127</v>
          </cell>
        </row>
        <row r="2320">
          <cell r="C2320">
            <v>44416</v>
          </cell>
          <cell r="N2320">
            <v>474</v>
          </cell>
          <cell r="O2320">
            <v>100</v>
          </cell>
          <cell r="AP2320">
            <v>1066</v>
          </cell>
        </row>
        <row r="2321">
          <cell r="C2321">
            <v>44416</v>
          </cell>
          <cell r="N2321">
            <v>479</v>
          </cell>
          <cell r="O2321">
            <v>100</v>
          </cell>
          <cell r="AP2321">
            <v>799</v>
          </cell>
        </row>
        <row r="2322">
          <cell r="C2322">
            <v>44416</v>
          </cell>
          <cell r="N2322">
            <v>484</v>
          </cell>
          <cell r="O2322">
            <v>100</v>
          </cell>
          <cell r="AP2322">
            <v>784</v>
          </cell>
        </row>
        <row r="2323">
          <cell r="C2323">
            <v>44416</v>
          </cell>
          <cell r="N2323">
            <v>479</v>
          </cell>
          <cell r="O2323">
            <v>100</v>
          </cell>
          <cell r="AP2323">
            <v>1081</v>
          </cell>
        </row>
        <row r="2324">
          <cell r="C2324">
            <v>44416</v>
          </cell>
          <cell r="N2324">
            <v>479</v>
          </cell>
          <cell r="O2324">
            <v>100</v>
          </cell>
          <cell r="AP2324">
            <v>1070</v>
          </cell>
        </row>
        <row r="2325">
          <cell r="C2325">
            <v>44416</v>
          </cell>
          <cell r="N2325">
            <v>479</v>
          </cell>
          <cell r="O2325">
            <v>100</v>
          </cell>
          <cell r="AP2325">
            <v>801</v>
          </cell>
        </row>
        <row r="2326">
          <cell r="C2326">
            <v>44416</v>
          </cell>
          <cell r="N2326">
            <v>479</v>
          </cell>
          <cell r="O2326">
            <v>100</v>
          </cell>
          <cell r="AP2326">
            <v>785</v>
          </cell>
        </row>
        <row r="2327">
          <cell r="C2327">
            <v>44416</v>
          </cell>
          <cell r="N2327">
            <v>479</v>
          </cell>
          <cell r="O2327">
            <v>100</v>
          </cell>
          <cell r="AP2327">
            <v>1084</v>
          </cell>
        </row>
        <row r="2328">
          <cell r="C2328">
            <v>44416</v>
          </cell>
          <cell r="N2328">
            <v>479</v>
          </cell>
          <cell r="O2328">
            <v>100</v>
          </cell>
          <cell r="AP2328">
            <v>1069</v>
          </cell>
        </row>
        <row r="2329">
          <cell r="C2329">
            <v>44416</v>
          </cell>
          <cell r="N2329">
            <v>479</v>
          </cell>
          <cell r="O2329">
            <v>100</v>
          </cell>
          <cell r="AP2329">
            <v>800</v>
          </cell>
        </row>
        <row r="2330">
          <cell r="C2330">
            <v>44416</v>
          </cell>
          <cell r="N2330">
            <v>479</v>
          </cell>
          <cell r="O2330">
            <v>100</v>
          </cell>
          <cell r="AP2330">
            <v>784</v>
          </cell>
        </row>
        <row r="2331">
          <cell r="C2331">
            <v>44416</v>
          </cell>
          <cell r="N2331">
            <v>479</v>
          </cell>
          <cell r="O2331">
            <v>100</v>
          </cell>
          <cell r="AP2331">
            <v>1084</v>
          </cell>
        </row>
        <row r="2332">
          <cell r="C2332">
            <v>44416</v>
          </cell>
          <cell r="N2332">
            <v>479</v>
          </cell>
          <cell r="O2332">
            <v>100</v>
          </cell>
          <cell r="AP2332">
            <v>1053</v>
          </cell>
        </row>
        <row r="2333">
          <cell r="C2333">
            <v>44416</v>
          </cell>
          <cell r="N2333">
            <v>479</v>
          </cell>
          <cell r="O2333">
            <v>100</v>
          </cell>
          <cell r="AP2333">
            <v>790</v>
          </cell>
        </row>
        <row r="2334">
          <cell r="C2334">
            <v>44416</v>
          </cell>
          <cell r="N2334">
            <v>479</v>
          </cell>
          <cell r="O2334">
            <v>100</v>
          </cell>
          <cell r="AP2334">
            <v>774</v>
          </cell>
        </row>
        <row r="2335">
          <cell r="C2335">
            <v>44416</v>
          </cell>
          <cell r="N2335">
            <v>479</v>
          </cell>
          <cell r="O2335">
            <v>100</v>
          </cell>
          <cell r="AP2335">
            <v>1062</v>
          </cell>
        </row>
        <row r="2336">
          <cell r="C2336">
            <v>44416</v>
          </cell>
          <cell r="N2336">
            <v>479</v>
          </cell>
          <cell r="O2336">
            <v>100</v>
          </cell>
          <cell r="AP2336">
            <v>977</v>
          </cell>
        </row>
        <row r="2337">
          <cell r="C2337">
            <v>44416</v>
          </cell>
          <cell r="N2337">
            <v>479</v>
          </cell>
          <cell r="O2337">
            <v>100</v>
          </cell>
          <cell r="AP2337">
            <v>754</v>
          </cell>
        </row>
        <row r="2338">
          <cell r="C2338">
            <v>44416</v>
          </cell>
          <cell r="N2338">
            <v>479</v>
          </cell>
          <cell r="O2338">
            <v>100</v>
          </cell>
          <cell r="AP2338">
            <v>740</v>
          </cell>
        </row>
        <row r="2339">
          <cell r="C2339">
            <v>44416</v>
          </cell>
          <cell r="N2339">
            <v>479</v>
          </cell>
          <cell r="O2339">
            <v>100</v>
          </cell>
          <cell r="AP2339">
            <v>1017</v>
          </cell>
        </row>
        <row r="2340">
          <cell r="C2340">
            <v>44416</v>
          </cell>
          <cell r="N2340">
            <v>479.78472222222223</v>
          </cell>
          <cell r="O2340">
            <v>100</v>
          </cell>
          <cell r="AP2340">
            <v>1072</v>
          </cell>
        </row>
        <row r="2341">
          <cell r="C2341">
            <v>44416</v>
          </cell>
          <cell r="N2341">
            <v>479</v>
          </cell>
          <cell r="O2341">
            <v>100</v>
          </cell>
          <cell r="AP2341">
            <v>804</v>
          </cell>
        </row>
        <row r="2342">
          <cell r="C2342">
            <v>44416</v>
          </cell>
          <cell r="N2342">
            <v>479</v>
          </cell>
          <cell r="O2342">
            <v>100</v>
          </cell>
          <cell r="AP2342">
            <v>787</v>
          </cell>
        </row>
        <row r="2343">
          <cell r="C2343">
            <v>44416</v>
          </cell>
          <cell r="N2343">
            <v>479</v>
          </cell>
          <cell r="O2343">
            <v>100</v>
          </cell>
          <cell r="AP2343">
            <v>1085</v>
          </cell>
        </row>
        <row r="2344">
          <cell r="C2344">
            <v>44416</v>
          </cell>
          <cell r="N2344">
            <v>479</v>
          </cell>
          <cell r="O2344">
            <v>100</v>
          </cell>
          <cell r="AP2344">
            <v>1076</v>
          </cell>
        </row>
        <row r="2345">
          <cell r="C2345">
            <v>44416</v>
          </cell>
          <cell r="N2345">
            <v>479</v>
          </cell>
          <cell r="O2345">
            <v>100</v>
          </cell>
          <cell r="AP2345">
            <v>807</v>
          </cell>
        </row>
        <row r="2346">
          <cell r="C2346">
            <v>44416</v>
          </cell>
          <cell r="N2346">
            <v>479</v>
          </cell>
          <cell r="O2346">
            <v>100</v>
          </cell>
          <cell r="AP2346">
            <v>790</v>
          </cell>
        </row>
        <row r="2347">
          <cell r="C2347">
            <v>44416</v>
          </cell>
          <cell r="N2347">
            <v>479</v>
          </cell>
          <cell r="O2347">
            <v>100</v>
          </cell>
          <cell r="AP2347">
            <v>1088</v>
          </cell>
        </row>
        <row r="2348">
          <cell r="C2348">
            <v>44416</v>
          </cell>
          <cell r="N2348">
            <v>479</v>
          </cell>
          <cell r="O2348">
            <v>100</v>
          </cell>
          <cell r="AP2348">
            <v>1085</v>
          </cell>
        </row>
        <row r="2349">
          <cell r="C2349">
            <v>44416</v>
          </cell>
          <cell r="N2349">
            <v>479</v>
          </cell>
          <cell r="O2349">
            <v>100</v>
          </cell>
          <cell r="AP2349">
            <v>815</v>
          </cell>
        </row>
        <row r="2350">
          <cell r="C2350">
            <v>44416</v>
          </cell>
          <cell r="N2350">
            <v>479</v>
          </cell>
          <cell r="O2350">
            <v>100</v>
          </cell>
          <cell r="AP2350">
            <v>797</v>
          </cell>
        </row>
        <row r="2351">
          <cell r="C2351">
            <v>44416</v>
          </cell>
          <cell r="N2351">
            <v>479</v>
          </cell>
          <cell r="O2351">
            <v>100</v>
          </cell>
          <cell r="AP2351">
            <v>1100</v>
          </cell>
        </row>
        <row r="2352">
          <cell r="C2352">
            <v>44416</v>
          </cell>
          <cell r="N2352">
            <v>474</v>
          </cell>
          <cell r="O2352">
            <v>100</v>
          </cell>
          <cell r="AP2352">
            <v>1048</v>
          </cell>
        </row>
        <row r="2353">
          <cell r="C2353">
            <v>44416</v>
          </cell>
          <cell r="N2353">
            <v>479</v>
          </cell>
          <cell r="O2353">
            <v>100</v>
          </cell>
          <cell r="AP2353">
            <v>856</v>
          </cell>
        </row>
        <row r="2354">
          <cell r="C2354">
            <v>44416</v>
          </cell>
          <cell r="N2354">
            <v>484</v>
          </cell>
          <cell r="O2354">
            <v>100</v>
          </cell>
          <cell r="AP2354">
            <v>837</v>
          </cell>
        </row>
        <row r="2355">
          <cell r="C2355">
            <v>44416</v>
          </cell>
          <cell r="N2355">
            <v>479</v>
          </cell>
          <cell r="O2355">
            <v>100</v>
          </cell>
          <cell r="AP2355">
            <v>1062</v>
          </cell>
        </row>
        <row r="2356">
          <cell r="C2356">
            <v>44416</v>
          </cell>
          <cell r="N2356">
            <v>479.82638888888891</v>
          </cell>
          <cell r="O2356">
            <v>100</v>
          </cell>
          <cell r="AP2356">
            <v>1060</v>
          </cell>
        </row>
        <row r="2357">
          <cell r="C2357">
            <v>44416</v>
          </cell>
          <cell r="N2357">
            <v>479</v>
          </cell>
          <cell r="O2357">
            <v>100</v>
          </cell>
          <cell r="AP2357">
            <v>865</v>
          </cell>
        </row>
        <row r="2358">
          <cell r="C2358">
            <v>44416</v>
          </cell>
          <cell r="N2358">
            <v>479</v>
          </cell>
          <cell r="O2358">
            <v>100</v>
          </cell>
          <cell r="AP2358">
            <v>848</v>
          </cell>
        </row>
        <row r="2359">
          <cell r="C2359">
            <v>44416</v>
          </cell>
          <cell r="N2359">
            <v>479</v>
          </cell>
          <cell r="O2359">
            <v>100</v>
          </cell>
          <cell r="AP2359">
            <v>1077</v>
          </cell>
        </row>
        <row r="2360">
          <cell r="C2360">
            <v>44416</v>
          </cell>
          <cell r="N2360">
            <v>479</v>
          </cell>
          <cell r="O2360">
            <v>100</v>
          </cell>
          <cell r="AP2360">
            <v>1042</v>
          </cell>
        </row>
        <row r="2361">
          <cell r="C2361">
            <v>44416</v>
          </cell>
          <cell r="N2361">
            <v>479</v>
          </cell>
          <cell r="O2361">
            <v>100</v>
          </cell>
          <cell r="AP2361">
            <v>874</v>
          </cell>
        </row>
        <row r="2362">
          <cell r="C2362">
            <v>44416</v>
          </cell>
          <cell r="N2362">
            <v>479</v>
          </cell>
          <cell r="O2362">
            <v>100</v>
          </cell>
          <cell r="AP2362">
            <v>855</v>
          </cell>
        </row>
        <row r="2363">
          <cell r="C2363">
            <v>44416</v>
          </cell>
          <cell r="N2363">
            <v>479</v>
          </cell>
          <cell r="O2363">
            <v>100</v>
          </cell>
          <cell r="AP2363">
            <v>1084</v>
          </cell>
        </row>
        <row r="2364">
          <cell r="C2364">
            <v>44416</v>
          </cell>
          <cell r="N2364">
            <v>479</v>
          </cell>
          <cell r="O2364">
            <v>100</v>
          </cell>
          <cell r="AP2364">
            <v>1064</v>
          </cell>
        </row>
        <row r="2365">
          <cell r="C2365">
            <v>44416</v>
          </cell>
          <cell r="N2365">
            <v>479</v>
          </cell>
          <cell r="O2365">
            <v>100</v>
          </cell>
          <cell r="AP2365">
            <v>868</v>
          </cell>
        </row>
        <row r="2366">
          <cell r="C2366">
            <v>44416</v>
          </cell>
          <cell r="N2366">
            <v>479</v>
          </cell>
          <cell r="O2366">
            <v>100</v>
          </cell>
          <cell r="AP2366">
            <v>850</v>
          </cell>
        </row>
        <row r="2367">
          <cell r="C2367">
            <v>44416</v>
          </cell>
          <cell r="N2367">
            <v>479</v>
          </cell>
          <cell r="O2367">
            <v>100</v>
          </cell>
          <cell r="AP2367">
            <v>1077</v>
          </cell>
        </row>
        <row r="2368">
          <cell r="C2368">
            <v>44416</v>
          </cell>
          <cell r="N2368">
            <v>479</v>
          </cell>
          <cell r="O2368">
            <v>100</v>
          </cell>
          <cell r="AP2368">
            <v>1072</v>
          </cell>
        </row>
        <row r="2369">
          <cell r="C2369">
            <v>44416</v>
          </cell>
          <cell r="N2369">
            <v>479</v>
          </cell>
          <cell r="O2369">
            <v>100</v>
          </cell>
          <cell r="AP2369">
            <v>876</v>
          </cell>
        </row>
        <row r="2370">
          <cell r="C2370">
            <v>44416</v>
          </cell>
          <cell r="N2370">
            <v>479</v>
          </cell>
          <cell r="O2370">
            <v>100</v>
          </cell>
          <cell r="AP2370">
            <v>857</v>
          </cell>
        </row>
        <row r="2371">
          <cell r="C2371">
            <v>44416</v>
          </cell>
          <cell r="N2371">
            <v>479</v>
          </cell>
          <cell r="O2371">
            <v>100</v>
          </cell>
          <cell r="AP2371">
            <v>1086</v>
          </cell>
        </row>
        <row r="2372">
          <cell r="C2372">
            <v>44416</v>
          </cell>
          <cell r="N2372">
            <v>479</v>
          </cell>
          <cell r="O2372">
            <v>100</v>
          </cell>
          <cell r="AP2372">
            <v>1073</v>
          </cell>
        </row>
        <row r="2373">
          <cell r="C2373">
            <v>44416</v>
          </cell>
          <cell r="N2373">
            <v>479</v>
          </cell>
          <cell r="O2373">
            <v>100</v>
          </cell>
          <cell r="AP2373">
            <v>876</v>
          </cell>
        </row>
        <row r="2374">
          <cell r="C2374">
            <v>44416</v>
          </cell>
          <cell r="N2374">
            <v>479</v>
          </cell>
          <cell r="O2374">
            <v>100</v>
          </cell>
          <cell r="AP2374">
            <v>857</v>
          </cell>
        </row>
        <row r="2375">
          <cell r="C2375">
            <v>44416</v>
          </cell>
          <cell r="N2375">
            <v>479</v>
          </cell>
          <cell r="O2375">
            <v>100</v>
          </cell>
          <cell r="AP2375">
            <v>1088</v>
          </cell>
        </row>
        <row r="2376">
          <cell r="C2376">
            <v>44416</v>
          </cell>
          <cell r="N2376">
            <v>479</v>
          </cell>
          <cell r="O2376">
            <v>100</v>
          </cell>
          <cell r="AP2376">
            <v>1074</v>
          </cell>
        </row>
        <row r="2377">
          <cell r="C2377">
            <v>44416</v>
          </cell>
          <cell r="N2377">
            <v>479</v>
          </cell>
          <cell r="O2377">
            <v>100</v>
          </cell>
          <cell r="AP2377">
            <v>877</v>
          </cell>
        </row>
        <row r="2378">
          <cell r="C2378">
            <v>44416</v>
          </cell>
          <cell r="N2378">
            <v>479</v>
          </cell>
          <cell r="O2378">
            <v>100</v>
          </cell>
          <cell r="AP2378">
            <v>858</v>
          </cell>
        </row>
        <row r="2379">
          <cell r="C2379">
            <v>44416</v>
          </cell>
          <cell r="N2379">
            <v>479</v>
          </cell>
          <cell r="O2379">
            <v>100</v>
          </cell>
          <cell r="AP2379">
            <v>1089</v>
          </cell>
        </row>
        <row r="2380">
          <cell r="C2380">
            <v>44416</v>
          </cell>
          <cell r="N2380">
            <v>479</v>
          </cell>
          <cell r="O2380">
            <v>100</v>
          </cell>
          <cell r="AP2380">
            <v>1081</v>
          </cell>
        </row>
        <row r="2381">
          <cell r="C2381">
            <v>44416</v>
          </cell>
          <cell r="N2381">
            <v>479</v>
          </cell>
          <cell r="O2381">
            <v>100</v>
          </cell>
          <cell r="AP2381">
            <v>884</v>
          </cell>
        </row>
        <row r="2382">
          <cell r="C2382">
            <v>44416</v>
          </cell>
          <cell r="N2382">
            <v>479</v>
          </cell>
          <cell r="O2382">
            <v>100</v>
          </cell>
          <cell r="AP2382">
            <v>867</v>
          </cell>
        </row>
        <row r="2383">
          <cell r="C2383">
            <v>44416</v>
          </cell>
          <cell r="N2383">
            <v>479</v>
          </cell>
          <cell r="O2383">
            <v>100</v>
          </cell>
          <cell r="AP2383">
            <v>1097</v>
          </cell>
        </row>
        <row r="2384">
          <cell r="C2384">
            <v>44416</v>
          </cell>
          <cell r="N2384">
            <v>479</v>
          </cell>
          <cell r="O2384">
            <v>100</v>
          </cell>
          <cell r="AP2384">
            <v>1013</v>
          </cell>
        </row>
        <row r="2385">
          <cell r="C2385">
            <v>44416</v>
          </cell>
          <cell r="N2385">
            <v>479</v>
          </cell>
          <cell r="O2385">
            <v>100</v>
          </cell>
          <cell r="AP2385">
            <v>884</v>
          </cell>
        </row>
        <row r="2386">
          <cell r="C2386">
            <v>44416</v>
          </cell>
          <cell r="N2386">
            <v>479</v>
          </cell>
          <cell r="O2386">
            <v>100</v>
          </cell>
          <cell r="AP2386">
            <v>899</v>
          </cell>
        </row>
        <row r="2387">
          <cell r="C2387">
            <v>44416</v>
          </cell>
          <cell r="N2387">
            <v>479</v>
          </cell>
          <cell r="O2387">
            <v>100</v>
          </cell>
          <cell r="AP2387">
            <v>1025</v>
          </cell>
        </row>
        <row r="2388">
          <cell r="C2388">
            <v>44416</v>
          </cell>
          <cell r="N2388">
            <v>479</v>
          </cell>
          <cell r="O2388">
            <v>100</v>
          </cell>
          <cell r="AP2388">
            <v>1029</v>
          </cell>
        </row>
        <row r="2389">
          <cell r="C2389">
            <v>44416</v>
          </cell>
          <cell r="N2389">
            <v>479</v>
          </cell>
          <cell r="O2389">
            <v>100</v>
          </cell>
          <cell r="AP2389">
            <v>897</v>
          </cell>
        </row>
        <row r="2390">
          <cell r="C2390">
            <v>44416</v>
          </cell>
          <cell r="N2390">
            <v>479</v>
          </cell>
          <cell r="O2390">
            <v>100</v>
          </cell>
          <cell r="AP2390">
            <v>912</v>
          </cell>
        </row>
        <row r="2391">
          <cell r="C2391">
            <v>44416</v>
          </cell>
          <cell r="N2391">
            <v>479</v>
          </cell>
          <cell r="O2391">
            <v>100</v>
          </cell>
          <cell r="AP2391">
            <v>1046</v>
          </cell>
        </row>
        <row r="2392">
          <cell r="C2392">
            <v>44416</v>
          </cell>
          <cell r="N2392">
            <v>479</v>
          </cell>
          <cell r="O2392">
            <v>100</v>
          </cell>
          <cell r="AP2392">
            <v>1019</v>
          </cell>
        </row>
        <row r="2393">
          <cell r="C2393">
            <v>44416</v>
          </cell>
          <cell r="N2393">
            <v>479</v>
          </cell>
          <cell r="O2393">
            <v>100</v>
          </cell>
          <cell r="AP2393">
            <v>887</v>
          </cell>
        </row>
        <row r="2394">
          <cell r="C2394">
            <v>44416</v>
          </cell>
          <cell r="N2394">
            <v>479</v>
          </cell>
          <cell r="O2394">
            <v>100</v>
          </cell>
          <cell r="AP2394">
            <v>900</v>
          </cell>
        </row>
        <row r="2395">
          <cell r="C2395">
            <v>44416</v>
          </cell>
          <cell r="N2395">
            <v>479</v>
          </cell>
          <cell r="O2395">
            <v>100</v>
          </cell>
          <cell r="AP2395">
            <v>1032</v>
          </cell>
        </row>
        <row r="2396">
          <cell r="C2396">
            <v>44416</v>
          </cell>
          <cell r="N2396">
            <v>479</v>
          </cell>
          <cell r="O2396">
            <v>100</v>
          </cell>
          <cell r="AP2396">
            <v>1002</v>
          </cell>
        </row>
        <row r="2397">
          <cell r="C2397">
            <v>44416</v>
          </cell>
          <cell r="N2397">
            <v>479</v>
          </cell>
          <cell r="O2397">
            <v>100</v>
          </cell>
          <cell r="AP2397">
            <v>871</v>
          </cell>
        </row>
        <row r="2398">
          <cell r="C2398">
            <v>44416</v>
          </cell>
          <cell r="N2398">
            <v>479</v>
          </cell>
          <cell r="O2398">
            <v>100</v>
          </cell>
          <cell r="AP2398">
            <v>888</v>
          </cell>
        </row>
        <row r="2399">
          <cell r="C2399">
            <v>44416</v>
          </cell>
          <cell r="N2399">
            <v>479</v>
          </cell>
          <cell r="O2399">
            <v>100</v>
          </cell>
          <cell r="AP2399">
            <v>1010</v>
          </cell>
        </row>
        <row r="2400">
          <cell r="C2400">
            <v>44416</v>
          </cell>
          <cell r="N2400">
            <v>479</v>
          </cell>
          <cell r="O2400">
            <v>100</v>
          </cell>
          <cell r="AP2400">
            <v>1017</v>
          </cell>
        </row>
        <row r="2401">
          <cell r="C2401">
            <v>44416</v>
          </cell>
          <cell r="N2401">
            <v>479</v>
          </cell>
          <cell r="O2401">
            <v>100</v>
          </cell>
          <cell r="AP2401">
            <v>887</v>
          </cell>
        </row>
        <row r="2402">
          <cell r="C2402">
            <v>44416</v>
          </cell>
          <cell r="N2402">
            <v>479</v>
          </cell>
          <cell r="O2402">
            <v>100</v>
          </cell>
          <cell r="AP2402">
            <v>900</v>
          </cell>
        </row>
        <row r="2403">
          <cell r="C2403">
            <v>44416</v>
          </cell>
          <cell r="N2403">
            <v>479</v>
          </cell>
          <cell r="O2403">
            <v>100</v>
          </cell>
          <cell r="AP2403">
            <v>1031</v>
          </cell>
        </row>
        <row r="2404">
          <cell r="C2404">
            <v>44416</v>
          </cell>
          <cell r="N2404">
            <v>479</v>
          </cell>
          <cell r="O2404">
            <v>100</v>
          </cell>
          <cell r="AP2404">
            <v>1013</v>
          </cell>
        </row>
        <row r="2405">
          <cell r="C2405">
            <v>44416</v>
          </cell>
          <cell r="N2405">
            <v>479</v>
          </cell>
          <cell r="O2405">
            <v>100</v>
          </cell>
          <cell r="AP2405">
            <v>881</v>
          </cell>
        </row>
        <row r="2406">
          <cell r="C2406">
            <v>44416</v>
          </cell>
          <cell r="N2406">
            <v>479</v>
          </cell>
          <cell r="O2406">
            <v>100</v>
          </cell>
          <cell r="AP2406">
            <v>897</v>
          </cell>
        </row>
        <row r="2407">
          <cell r="C2407">
            <v>44416</v>
          </cell>
          <cell r="N2407">
            <v>479</v>
          </cell>
          <cell r="O2407">
            <v>100</v>
          </cell>
          <cell r="AP2407">
            <v>1030</v>
          </cell>
        </row>
        <row r="2408">
          <cell r="C2408">
            <v>44416</v>
          </cell>
          <cell r="N2408">
            <v>479</v>
          </cell>
          <cell r="O2408">
            <v>100</v>
          </cell>
          <cell r="AP2408">
            <v>1006</v>
          </cell>
        </row>
        <row r="2409">
          <cell r="C2409">
            <v>44416</v>
          </cell>
          <cell r="N2409">
            <v>479</v>
          </cell>
          <cell r="O2409">
            <v>100</v>
          </cell>
          <cell r="AP2409">
            <v>877</v>
          </cell>
        </row>
        <row r="2410">
          <cell r="C2410">
            <v>44416</v>
          </cell>
          <cell r="N2410">
            <v>479</v>
          </cell>
          <cell r="O2410">
            <v>100</v>
          </cell>
          <cell r="AP2410">
            <v>891</v>
          </cell>
        </row>
        <row r="2411">
          <cell r="C2411">
            <v>44416</v>
          </cell>
          <cell r="N2411">
            <v>479</v>
          </cell>
          <cell r="O2411">
            <v>100</v>
          </cell>
          <cell r="AP2411">
            <v>1021</v>
          </cell>
        </row>
        <row r="2412">
          <cell r="C2412">
            <v>44416</v>
          </cell>
          <cell r="N2412">
            <v>479</v>
          </cell>
          <cell r="O2412">
            <v>100</v>
          </cell>
          <cell r="AP2412">
            <v>971</v>
          </cell>
        </row>
        <row r="2413">
          <cell r="C2413">
            <v>44416</v>
          </cell>
          <cell r="N2413">
            <v>479</v>
          </cell>
          <cell r="O2413">
            <v>100</v>
          </cell>
          <cell r="AP2413">
            <v>847</v>
          </cell>
        </row>
        <row r="2414">
          <cell r="C2414">
            <v>44416</v>
          </cell>
          <cell r="N2414">
            <v>479</v>
          </cell>
          <cell r="O2414">
            <v>100</v>
          </cell>
          <cell r="AP2414">
            <v>861</v>
          </cell>
        </row>
        <row r="2415">
          <cell r="C2415">
            <v>44416</v>
          </cell>
          <cell r="N2415">
            <v>479</v>
          </cell>
          <cell r="O2415">
            <v>100</v>
          </cell>
          <cell r="AP2415">
            <v>984</v>
          </cell>
        </row>
        <row r="2416">
          <cell r="C2416">
            <v>44416</v>
          </cell>
          <cell r="N2416">
            <v>479</v>
          </cell>
          <cell r="O2416">
            <v>100</v>
          </cell>
          <cell r="AP2416">
            <v>966</v>
          </cell>
        </row>
        <row r="2417">
          <cell r="C2417">
            <v>44416</v>
          </cell>
          <cell r="N2417">
            <v>479</v>
          </cell>
          <cell r="O2417">
            <v>100</v>
          </cell>
          <cell r="AP2417">
            <v>893</v>
          </cell>
        </row>
        <row r="2418">
          <cell r="C2418">
            <v>44416</v>
          </cell>
          <cell r="N2418">
            <v>479</v>
          </cell>
          <cell r="O2418">
            <v>100</v>
          </cell>
          <cell r="AP2418">
            <v>907</v>
          </cell>
        </row>
        <row r="2419">
          <cell r="C2419">
            <v>44416</v>
          </cell>
          <cell r="N2419">
            <v>479</v>
          </cell>
          <cell r="O2419">
            <v>100</v>
          </cell>
          <cell r="AP2419">
            <v>933</v>
          </cell>
        </row>
        <row r="2420">
          <cell r="C2420">
            <v>44416</v>
          </cell>
          <cell r="N2420">
            <v>479</v>
          </cell>
          <cell r="O2420">
            <v>100</v>
          </cell>
          <cell r="AP2420">
            <v>994</v>
          </cell>
        </row>
        <row r="2421">
          <cell r="C2421">
            <v>44416</v>
          </cell>
          <cell r="N2421">
            <v>479</v>
          </cell>
          <cell r="O2421">
            <v>100</v>
          </cell>
          <cell r="AP2421">
            <v>917</v>
          </cell>
        </row>
        <row r="2422">
          <cell r="C2422">
            <v>44416</v>
          </cell>
          <cell r="N2422">
            <v>479</v>
          </cell>
          <cell r="O2422">
            <v>100</v>
          </cell>
          <cell r="AP2422">
            <v>929</v>
          </cell>
        </row>
        <row r="2423">
          <cell r="C2423">
            <v>44416</v>
          </cell>
          <cell r="N2423">
            <v>479</v>
          </cell>
          <cell r="O2423">
            <v>100</v>
          </cell>
          <cell r="AP2423">
            <v>958</v>
          </cell>
        </row>
        <row r="2424">
          <cell r="C2424">
            <v>44416</v>
          </cell>
          <cell r="N2424">
            <v>479</v>
          </cell>
          <cell r="O2424">
            <v>100</v>
          </cell>
          <cell r="AP2424">
            <v>999</v>
          </cell>
        </row>
        <row r="2425">
          <cell r="C2425">
            <v>44416</v>
          </cell>
          <cell r="N2425">
            <v>479</v>
          </cell>
          <cell r="O2425">
            <v>100</v>
          </cell>
          <cell r="AP2425">
            <v>917</v>
          </cell>
        </row>
        <row r="2426">
          <cell r="C2426">
            <v>44416</v>
          </cell>
          <cell r="N2426">
            <v>479</v>
          </cell>
          <cell r="O2426">
            <v>100</v>
          </cell>
          <cell r="AP2426">
            <v>927</v>
          </cell>
        </row>
        <row r="2427">
          <cell r="C2427">
            <v>44416</v>
          </cell>
          <cell r="N2427">
            <v>479</v>
          </cell>
          <cell r="O2427">
            <v>100</v>
          </cell>
          <cell r="AP2427">
            <v>957</v>
          </cell>
        </row>
        <row r="2428">
          <cell r="C2428">
            <v>44416</v>
          </cell>
          <cell r="N2428">
            <v>479</v>
          </cell>
          <cell r="O2428">
            <v>100</v>
          </cell>
          <cell r="AP2428">
            <v>1011</v>
          </cell>
        </row>
        <row r="2429">
          <cell r="C2429">
            <v>44416</v>
          </cell>
          <cell r="N2429">
            <v>479</v>
          </cell>
          <cell r="O2429">
            <v>100</v>
          </cell>
          <cell r="AP2429">
            <v>918</v>
          </cell>
        </row>
        <row r="2430">
          <cell r="C2430">
            <v>44416</v>
          </cell>
          <cell r="N2430">
            <v>479</v>
          </cell>
          <cell r="O2430">
            <v>100</v>
          </cell>
          <cell r="AP2430">
            <v>931</v>
          </cell>
        </row>
        <row r="2431">
          <cell r="C2431">
            <v>44416</v>
          </cell>
          <cell r="N2431">
            <v>479</v>
          </cell>
          <cell r="O2431">
            <v>100</v>
          </cell>
          <cell r="AP2431">
            <v>961</v>
          </cell>
        </row>
        <row r="2432">
          <cell r="C2432">
            <v>44416</v>
          </cell>
          <cell r="N2432">
            <v>479</v>
          </cell>
          <cell r="O2432">
            <v>100</v>
          </cell>
          <cell r="AP2432">
            <v>985</v>
          </cell>
        </row>
        <row r="2433">
          <cell r="C2433">
            <v>44416</v>
          </cell>
          <cell r="N2433">
            <v>479</v>
          </cell>
          <cell r="O2433">
            <v>100</v>
          </cell>
          <cell r="AP2433">
            <v>913</v>
          </cell>
        </row>
        <row r="2434">
          <cell r="C2434">
            <v>44416</v>
          </cell>
          <cell r="N2434">
            <v>479</v>
          </cell>
          <cell r="O2434">
            <v>100</v>
          </cell>
          <cell r="AP2434">
            <v>926</v>
          </cell>
        </row>
        <row r="2435">
          <cell r="C2435">
            <v>44416</v>
          </cell>
          <cell r="N2435">
            <v>479</v>
          </cell>
          <cell r="O2435">
            <v>100</v>
          </cell>
          <cell r="AP2435">
            <v>950</v>
          </cell>
        </row>
        <row r="2436">
          <cell r="C2436">
            <v>44416</v>
          </cell>
          <cell r="N2436">
            <v>479</v>
          </cell>
          <cell r="O2436">
            <v>100</v>
          </cell>
          <cell r="AP2436">
            <v>983</v>
          </cell>
        </row>
        <row r="2437">
          <cell r="C2437">
            <v>44416</v>
          </cell>
          <cell r="N2437">
            <v>479</v>
          </cell>
          <cell r="O2437">
            <v>100</v>
          </cell>
          <cell r="AP2437">
            <v>912</v>
          </cell>
        </row>
        <row r="2438">
          <cell r="C2438">
            <v>44416</v>
          </cell>
          <cell r="N2438">
            <v>479</v>
          </cell>
          <cell r="O2438">
            <v>100</v>
          </cell>
          <cell r="AP2438">
            <v>926</v>
          </cell>
        </row>
        <row r="2439">
          <cell r="C2439">
            <v>44416</v>
          </cell>
          <cell r="N2439">
            <v>479</v>
          </cell>
          <cell r="O2439">
            <v>100</v>
          </cell>
          <cell r="AP2439">
            <v>949</v>
          </cell>
        </row>
        <row r="2440">
          <cell r="C2440">
            <v>44416</v>
          </cell>
          <cell r="N2440">
            <v>479</v>
          </cell>
          <cell r="O2440">
            <v>100</v>
          </cell>
          <cell r="AP2440">
            <v>1001</v>
          </cell>
        </row>
        <row r="2441">
          <cell r="C2441">
            <v>44416</v>
          </cell>
          <cell r="N2441">
            <v>479</v>
          </cell>
          <cell r="O2441">
            <v>100</v>
          </cell>
          <cell r="AP2441">
            <v>929</v>
          </cell>
        </row>
        <row r="2442">
          <cell r="C2442">
            <v>44416</v>
          </cell>
          <cell r="N2442">
            <v>479</v>
          </cell>
          <cell r="O2442">
            <v>100</v>
          </cell>
          <cell r="AP2442">
            <v>942</v>
          </cell>
        </row>
        <row r="2443">
          <cell r="C2443">
            <v>44416</v>
          </cell>
          <cell r="N2443">
            <v>479</v>
          </cell>
          <cell r="O2443">
            <v>100</v>
          </cell>
          <cell r="AP2443">
            <v>965</v>
          </cell>
        </row>
        <row r="2444">
          <cell r="C2444">
            <v>44416</v>
          </cell>
          <cell r="N2444">
            <v>479</v>
          </cell>
          <cell r="O2444">
            <v>100</v>
          </cell>
          <cell r="AP2444">
            <v>1006</v>
          </cell>
        </row>
        <row r="2445">
          <cell r="C2445">
            <v>44416</v>
          </cell>
          <cell r="N2445">
            <v>479</v>
          </cell>
          <cell r="O2445">
            <v>100</v>
          </cell>
          <cell r="AP2445">
            <v>933</v>
          </cell>
        </row>
        <row r="2446">
          <cell r="C2446">
            <v>44416</v>
          </cell>
          <cell r="N2446">
            <v>479</v>
          </cell>
          <cell r="O2446">
            <v>100</v>
          </cell>
          <cell r="AP2446">
            <v>945</v>
          </cell>
        </row>
        <row r="2447">
          <cell r="C2447">
            <v>44416</v>
          </cell>
          <cell r="N2447">
            <v>479</v>
          </cell>
          <cell r="O2447">
            <v>100</v>
          </cell>
          <cell r="AP2447">
            <v>971</v>
          </cell>
        </row>
        <row r="2448">
          <cell r="C2448">
            <v>44416</v>
          </cell>
          <cell r="N2448">
            <v>480</v>
          </cell>
          <cell r="O2448">
            <v>100</v>
          </cell>
          <cell r="AP2448">
            <v>963</v>
          </cell>
        </row>
        <row r="2449">
          <cell r="C2449">
            <v>44416</v>
          </cell>
          <cell r="N2449">
            <v>480</v>
          </cell>
          <cell r="O2449">
            <v>100</v>
          </cell>
          <cell r="AP2449">
            <v>952</v>
          </cell>
        </row>
        <row r="2450">
          <cell r="C2450">
            <v>44416</v>
          </cell>
          <cell r="N2450">
            <v>480</v>
          </cell>
          <cell r="O2450">
            <v>100</v>
          </cell>
          <cell r="AP2450">
            <v>968</v>
          </cell>
        </row>
        <row r="2451">
          <cell r="C2451">
            <v>44416</v>
          </cell>
          <cell r="N2451">
            <v>480</v>
          </cell>
          <cell r="O2451">
            <v>100</v>
          </cell>
          <cell r="AP2451">
            <v>968</v>
          </cell>
        </row>
        <row r="2452">
          <cell r="C2452">
            <v>44416</v>
          </cell>
          <cell r="N2452">
            <v>480</v>
          </cell>
          <cell r="O2452">
            <v>100</v>
          </cell>
          <cell r="AP2452">
            <v>975</v>
          </cell>
        </row>
        <row r="2453">
          <cell r="C2453">
            <v>44416</v>
          </cell>
          <cell r="N2453">
            <v>480</v>
          </cell>
          <cell r="O2453">
            <v>100</v>
          </cell>
          <cell r="AP2453">
            <v>983</v>
          </cell>
        </row>
        <row r="2454">
          <cell r="C2454">
            <v>44416</v>
          </cell>
          <cell r="N2454">
            <v>480</v>
          </cell>
          <cell r="O2454">
            <v>100</v>
          </cell>
          <cell r="AP2454">
            <v>982</v>
          </cell>
        </row>
        <row r="2455">
          <cell r="C2455">
            <v>44416</v>
          </cell>
          <cell r="N2455">
            <v>480</v>
          </cell>
          <cell r="O2455">
            <v>100</v>
          </cell>
          <cell r="AP2455">
            <v>967</v>
          </cell>
        </row>
        <row r="2456">
          <cell r="C2456">
            <v>44416</v>
          </cell>
          <cell r="N2456">
            <v>480</v>
          </cell>
          <cell r="O2456">
            <v>100</v>
          </cell>
          <cell r="AP2456">
            <v>2015</v>
          </cell>
        </row>
        <row r="2457">
          <cell r="C2457">
            <v>44416</v>
          </cell>
          <cell r="N2457">
            <v>480</v>
          </cell>
          <cell r="O2457">
            <v>100</v>
          </cell>
          <cell r="AP2457">
            <v>1842</v>
          </cell>
        </row>
        <row r="2458">
          <cell r="C2458">
            <v>44416</v>
          </cell>
          <cell r="N2458">
            <v>480</v>
          </cell>
          <cell r="O2458">
            <v>100</v>
          </cell>
          <cell r="AP2458">
            <v>2075</v>
          </cell>
        </row>
        <row r="2459">
          <cell r="C2459">
            <v>44416</v>
          </cell>
          <cell r="N2459">
            <v>480</v>
          </cell>
          <cell r="O2459">
            <v>100</v>
          </cell>
          <cell r="AP2459">
            <v>1892</v>
          </cell>
        </row>
        <row r="2460">
          <cell r="C2460">
            <v>44416</v>
          </cell>
          <cell r="N2460">
            <v>480</v>
          </cell>
          <cell r="O2460">
            <v>100</v>
          </cell>
          <cell r="AP2460">
            <v>2000</v>
          </cell>
        </row>
        <row r="2461">
          <cell r="C2461">
            <v>44416</v>
          </cell>
          <cell r="N2461">
            <v>480</v>
          </cell>
          <cell r="O2461">
            <v>100</v>
          </cell>
          <cell r="AP2461">
            <v>1825</v>
          </cell>
        </row>
        <row r="2462">
          <cell r="C2462">
            <v>44416</v>
          </cell>
          <cell r="N2462">
            <v>480</v>
          </cell>
          <cell r="O2462">
            <v>100</v>
          </cell>
          <cell r="AP2462">
            <v>1987</v>
          </cell>
        </row>
        <row r="2463">
          <cell r="C2463">
            <v>44416</v>
          </cell>
          <cell r="N2463">
            <v>480</v>
          </cell>
          <cell r="O2463">
            <v>100</v>
          </cell>
          <cell r="AP2463">
            <v>1813</v>
          </cell>
        </row>
        <row r="2464">
          <cell r="C2464">
            <v>44417</v>
          </cell>
          <cell r="N2464">
            <v>480</v>
          </cell>
          <cell r="O2464">
            <v>100</v>
          </cell>
          <cell r="AP2464">
            <v>2196</v>
          </cell>
        </row>
        <row r="2465">
          <cell r="C2465">
            <v>44417</v>
          </cell>
          <cell r="N2465">
            <v>480</v>
          </cell>
          <cell r="O2465">
            <v>100</v>
          </cell>
          <cell r="AP2465">
            <v>2007</v>
          </cell>
        </row>
        <row r="2466">
          <cell r="C2466">
            <v>44417</v>
          </cell>
          <cell r="N2466">
            <v>480</v>
          </cell>
          <cell r="O2466">
            <v>100</v>
          </cell>
          <cell r="AP2466">
            <v>2227</v>
          </cell>
        </row>
        <row r="2467">
          <cell r="C2467">
            <v>44417</v>
          </cell>
          <cell r="N2467">
            <v>480</v>
          </cell>
          <cell r="O2467">
            <v>100</v>
          </cell>
          <cell r="AP2467">
            <v>2033</v>
          </cell>
        </row>
        <row r="2468">
          <cell r="C2468">
            <v>44417</v>
          </cell>
          <cell r="N2468">
            <v>480</v>
          </cell>
          <cell r="O2468">
            <v>100</v>
          </cell>
          <cell r="AP2468">
            <v>2014</v>
          </cell>
        </row>
        <row r="2469">
          <cell r="C2469">
            <v>44417</v>
          </cell>
          <cell r="N2469">
            <v>480</v>
          </cell>
          <cell r="O2469">
            <v>100</v>
          </cell>
          <cell r="AP2469">
            <v>1919</v>
          </cell>
        </row>
        <row r="2470">
          <cell r="C2470">
            <v>44417</v>
          </cell>
          <cell r="N2470">
            <v>480</v>
          </cell>
          <cell r="O2470">
            <v>100</v>
          </cell>
          <cell r="AP2470">
            <v>2139</v>
          </cell>
        </row>
        <row r="2471">
          <cell r="C2471">
            <v>44417</v>
          </cell>
          <cell r="N2471">
            <v>480</v>
          </cell>
          <cell r="O2471">
            <v>100</v>
          </cell>
          <cell r="AP2471">
            <v>2039</v>
          </cell>
        </row>
        <row r="2472">
          <cell r="C2472">
            <v>44417</v>
          </cell>
          <cell r="N2472">
            <v>480</v>
          </cell>
          <cell r="O2472">
            <v>100</v>
          </cell>
          <cell r="AP2472">
            <v>2180</v>
          </cell>
        </row>
        <row r="2473">
          <cell r="C2473">
            <v>44417</v>
          </cell>
          <cell r="N2473">
            <v>480</v>
          </cell>
          <cell r="O2473">
            <v>100</v>
          </cell>
          <cell r="AP2473">
            <v>2078</v>
          </cell>
        </row>
        <row r="2474">
          <cell r="C2474">
            <v>44417</v>
          </cell>
          <cell r="N2474">
            <v>480</v>
          </cell>
          <cell r="O2474">
            <v>100</v>
          </cell>
          <cell r="AP2474">
            <v>2259</v>
          </cell>
        </row>
        <row r="2475">
          <cell r="C2475">
            <v>44417</v>
          </cell>
          <cell r="N2475">
            <v>480</v>
          </cell>
          <cell r="O2475">
            <v>100</v>
          </cell>
          <cell r="AP2475">
            <v>2148</v>
          </cell>
        </row>
        <row r="2476">
          <cell r="C2476">
            <v>44417</v>
          </cell>
          <cell r="N2476">
            <v>480</v>
          </cell>
          <cell r="O2476">
            <v>100</v>
          </cell>
          <cell r="AP2476">
            <v>2283</v>
          </cell>
        </row>
        <row r="2477">
          <cell r="C2477">
            <v>44417</v>
          </cell>
          <cell r="N2477">
            <v>480</v>
          </cell>
          <cell r="O2477">
            <v>100</v>
          </cell>
          <cell r="AP2477">
            <v>2173</v>
          </cell>
        </row>
        <row r="2478">
          <cell r="C2478">
            <v>44417</v>
          </cell>
          <cell r="N2478">
            <v>480</v>
          </cell>
          <cell r="O2478">
            <v>100</v>
          </cell>
          <cell r="AP2478">
            <v>2290</v>
          </cell>
        </row>
        <row r="2479">
          <cell r="C2479">
            <v>44417</v>
          </cell>
          <cell r="N2479">
            <v>480</v>
          </cell>
          <cell r="O2479">
            <v>100</v>
          </cell>
          <cell r="AP2479">
            <v>2180</v>
          </cell>
        </row>
        <row r="2480">
          <cell r="C2480">
            <v>44417</v>
          </cell>
          <cell r="N2480">
            <v>480</v>
          </cell>
          <cell r="O2480">
            <v>100</v>
          </cell>
          <cell r="AP2480">
            <v>2280</v>
          </cell>
        </row>
        <row r="2481">
          <cell r="C2481">
            <v>44417</v>
          </cell>
          <cell r="N2481">
            <v>480</v>
          </cell>
          <cell r="O2481">
            <v>100</v>
          </cell>
          <cell r="AP2481">
            <v>2169</v>
          </cell>
        </row>
        <row r="2482">
          <cell r="C2482">
            <v>44417</v>
          </cell>
          <cell r="N2482">
            <v>480</v>
          </cell>
          <cell r="O2482">
            <v>100</v>
          </cell>
          <cell r="AP2482">
            <v>2285</v>
          </cell>
        </row>
        <row r="2483">
          <cell r="C2483">
            <v>44417</v>
          </cell>
          <cell r="N2483">
            <v>480</v>
          </cell>
          <cell r="O2483">
            <v>100</v>
          </cell>
          <cell r="AP2483">
            <v>2176</v>
          </cell>
        </row>
        <row r="2484">
          <cell r="C2484">
            <v>44417</v>
          </cell>
          <cell r="N2484">
            <v>480</v>
          </cell>
          <cell r="O2484">
            <v>100</v>
          </cell>
          <cell r="AP2484">
            <v>2234</v>
          </cell>
        </row>
        <row r="2485">
          <cell r="C2485">
            <v>44417</v>
          </cell>
          <cell r="N2485">
            <v>480</v>
          </cell>
          <cell r="O2485">
            <v>100</v>
          </cell>
          <cell r="AP2485">
            <v>2139</v>
          </cell>
        </row>
        <row r="2486">
          <cell r="C2486">
            <v>44416</v>
          </cell>
          <cell r="N2486">
            <v>477.25347222222223</v>
          </cell>
          <cell r="O2486">
            <v>100</v>
          </cell>
          <cell r="AP2486">
            <v>1295</v>
          </cell>
        </row>
        <row r="2487">
          <cell r="C2487">
            <v>44416</v>
          </cell>
          <cell r="N2487">
            <v>477</v>
          </cell>
          <cell r="O2487">
            <v>100</v>
          </cell>
          <cell r="AP2487">
            <v>1205</v>
          </cell>
        </row>
        <row r="2488">
          <cell r="C2488">
            <v>44416</v>
          </cell>
          <cell r="N2488">
            <v>477</v>
          </cell>
          <cell r="O2488">
            <v>100</v>
          </cell>
          <cell r="AP2488">
            <v>1305</v>
          </cell>
        </row>
        <row r="2489">
          <cell r="C2489">
            <v>44416</v>
          </cell>
          <cell r="N2489">
            <v>477</v>
          </cell>
          <cell r="O2489">
            <v>100</v>
          </cell>
          <cell r="AP2489">
            <v>1286</v>
          </cell>
        </row>
        <row r="2490">
          <cell r="C2490">
            <v>44416</v>
          </cell>
          <cell r="N2490">
            <v>477</v>
          </cell>
          <cell r="O2490">
            <v>100</v>
          </cell>
          <cell r="AP2490">
            <v>1198</v>
          </cell>
        </row>
        <row r="2491">
          <cell r="C2491">
            <v>44416</v>
          </cell>
          <cell r="N2491">
            <v>477</v>
          </cell>
          <cell r="O2491">
            <v>100</v>
          </cell>
          <cell r="AP2491">
            <v>1298</v>
          </cell>
        </row>
        <row r="2492">
          <cell r="C2492">
            <v>44417</v>
          </cell>
          <cell r="N2492">
            <v>480</v>
          </cell>
          <cell r="O2492">
            <v>100</v>
          </cell>
          <cell r="AP2492">
            <v>2223</v>
          </cell>
        </row>
        <row r="2493">
          <cell r="C2493">
            <v>44417</v>
          </cell>
          <cell r="N2493">
            <v>480</v>
          </cell>
          <cell r="O2493">
            <v>100</v>
          </cell>
          <cell r="AP2493">
            <v>2116</v>
          </cell>
        </row>
        <row r="2494">
          <cell r="C2494">
            <v>44417</v>
          </cell>
          <cell r="N2494">
            <v>480</v>
          </cell>
          <cell r="O2494">
            <v>100</v>
          </cell>
          <cell r="AP2494">
            <v>2231</v>
          </cell>
        </row>
        <row r="2495">
          <cell r="C2495">
            <v>44417</v>
          </cell>
          <cell r="N2495">
            <v>480</v>
          </cell>
          <cell r="O2495">
            <v>100</v>
          </cell>
          <cell r="AP2495">
            <v>2129</v>
          </cell>
        </row>
        <row r="2496">
          <cell r="C2496">
            <v>44417</v>
          </cell>
          <cell r="N2496">
            <v>480</v>
          </cell>
          <cell r="O2496">
            <v>100</v>
          </cell>
          <cell r="AP2496">
            <v>2204</v>
          </cell>
        </row>
        <row r="2497">
          <cell r="C2497">
            <v>44417</v>
          </cell>
          <cell r="N2497">
            <v>480</v>
          </cell>
          <cell r="O2497">
            <v>100</v>
          </cell>
          <cell r="AP2497">
            <v>2216</v>
          </cell>
        </row>
        <row r="2498">
          <cell r="C2498">
            <v>44416</v>
          </cell>
          <cell r="N2498">
            <v>477</v>
          </cell>
          <cell r="O2498">
            <v>100</v>
          </cell>
          <cell r="AP2498">
            <v>1250</v>
          </cell>
        </row>
        <row r="2499">
          <cell r="C2499">
            <v>44416</v>
          </cell>
          <cell r="N2499">
            <v>477</v>
          </cell>
          <cell r="O2499">
            <v>100</v>
          </cell>
          <cell r="AP2499">
            <v>1317</v>
          </cell>
        </row>
        <row r="2500">
          <cell r="C2500">
            <v>44416</v>
          </cell>
          <cell r="N2500">
            <v>477</v>
          </cell>
          <cell r="O2500">
            <v>100</v>
          </cell>
          <cell r="AP2500">
            <v>1153</v>
          </cell>
        </row>
        <row r="2501">
          <cell r="C2501">
            <v>44412</v>
          </cell>
          <cell r="N2501">
            <v>475</v>
          </cell>
          <cell r="O2501">
            <v>180</v>
          </cell>
          <cell r="AP2501">
            <v>1309</v>
          </cell>
        </row>
        <row r="2502">
          <cell r="C2502">
            <v>44412</v>
          </cell>
          <cell r="N2502">
            <v>475</v>
          </cell>
          <cell r="O2502">
            <v>180</v>
          </cell>
          <cell r="AP2502">
            <v>1310</v>
          </cell>
        </row>
        <row r="2503">
          <cell r="C2503">
            <v>44412</v>
          </cell>
          <cell r="N2503">
            <v>475</v>
          </cell>
          <cell r="O2503">
            <v>180</v>
          </cell>
          <cell r="AP2503">
            <v>1257</v>
          </cell>
        </row>
        <row r="2504">
          <cell r="C2504">
            <v>44417</v>
          </cell>
          <cell r="N2504">
            <v>480</v>
          </cell>
          <cell r="O2504">
            <v>100</v>
          </cell>
          <cell r="AP2504">
            <v>2210</v>
          </cell>
        </row>
        <row r="2505">
          <cell r="C2505">
            <v>44417</v>
          </cell>
          <cell r="N2505">
            <v>480</v>
          </cell>
          <cell r="O2505">
            <v>100</v>
          </cell>
          <cell r="AP2505">
            <v>2200</v>
          </cell>
        </row>
        <row r="2506">
          <cell r="C2506">
            <v>44417</v>
          </cell>
          <cell r="N2506">
            <v>480</v>
          </cell>
          <cell r="O2506">
            <v>100</v>
          </cell>
          <cell r="AP2506">
            <v>2200</v>
          </cell>
        </row>
        <row r="2507">
          <cell r="C2507">
            <v>44417</v>
          </cell>
          <cell r="N2507">
            <v>480</v>
          </cell>
          <cell r="O2507">
            <v>100</v>
          </cell>
          <cell r="AP2507">
            <v>2194</v>
          </cell>
        </row>
        <row r="2508">
          <cell r="C2508">
            <v>44417</v>
          </cell>
          <cell r="N2508">
            <v>480</v>
          </cell>
          <cell r="O2508">
            <v>100</v>
          </cell>
          <cell r="AP2508">
            <v>2190</v>
          </cell>
        </row>
        <row r="2509">
          <cell r="C2509">
            <v>44417</v>
          </cell>
          <cell r="N2509">
            <v>480</v>
          </cell>
          <cell r="O2509">
            <v>100</v>
          </cell>
          <cell r="AP2509">
            <v>2183</v>
          </cell>
        </row>
        <row r="2510">
          <cell r="C2510">
            <v>44417</v>
          </cell>
          <cell r="N2510">
            <v>480</v>
          </cell>
          <cell r="O2510">
            <v>100</v>
          </cell>
          <cell r="AP2510">
            <v>2237</v>
          </cell>
        </row>
        <row r="2511">
          <cell r="C2511">
            <v>44417</v>
          </cell>
          <cell r="N2511">
            <v>480</v>
          </cell>
          <cell r="O2511">
            <v>100</v>
          </cell>
          <cell r="AP2511">
            <v>2227</v>
          </cell>
        </row>
        <row r="2512">
          <cell r="C2512">
            <v>44417</v>
          </cell>
          <cell r="N2512">
            <v>480</v>
          </cell>
          <cell r="O2512">
            <v>100</v>
          </cell>
          <cell r="AP2512">
            <v>2216</v>
          </cell>
        </row>
        <row r="2513">
          <cell r="C2513">
            <v>44417</v>
          </cell>
          <cell r="N2513">
            <v>480</v>
          </cell>
          <cell r="O2513">
            <v>100</v>
          </cell>
          <cell r="AP2513">
            <v>2200</v>
          </cell>
        </row>
        <row r="2514">
          <cell r="C2514">
            <v>44417</v>
          </cell>
          <cell r="N2514">
            <v>480</v>
          </cell>
          <cell r="O2514">
            <v>100</v>
          </cell>
          <cell r="AP2514">
            <v>2235</v>
          </cell>
        </row>
        <row r="2515">
          <cell r="C2515">
            <v>44417</v>
          </cell>
          <cell r="N2515">
            <v>480</v>
          </cell>
          <cell r="O2515">
            <v>100</v>
          </cell>
          <cell r="AP2515">
            <v>2226</v>
          </cell>
        </row>
        <row r="2516">
          <cell r="C2516">
            <v>44417</v>
          </cell>
          <cell r="N2516">
            <v>485</v>
          </cell>
          <cell r="O2516">
            <v>100</v>
          </cell>
          <cell r="AP2516">
            <v>1395</v>
          </cell>
        </row>
        <row r="2517">
          <cell r="C2517">
            <v>44417</v>
          </cell>
          <cell r="N2517">
            <v>485</v>
          </cell>
          <cell r="O2517">
            <v>100</v>
          </cell>
          <cell r="AP2517">
            <v>1032</v>
          </cell>
        </row>
        <row r="2518">
          <cell r="C2518">
            <v>44417</v>
          </cell>
          <cell r="N2518">
            <v>485</v>
          </cell>
          <cell r="O2518">
            <v>100</v>
          </cell>
          <cell r="AP2518">
            <v>2085</v>
          </cell>
        </row>
        <row r="2519">
          <cell r="C2519">
            <v>44417</v>
          </cell>
          <cell r="N2519">
            <v>485</v>
          </cell>
          <cell r="O2519">
            <v>100</v>
          </cell>
          <cell r="AP2519">
            <v>1390</v>
          </cell>
        </row>
        <row r="2520">
          <cell r="C2520">
            <v>44417</v>
          </cell>
          <cell r="N2520">
            <v>485</v>
          </cell>
          <cell r="O2520">
            <v>100</v>
          </cell>
          <cell r="AP2520">
            <v>1029</v>
          </cell>
        </row>
        <row r="2521">
          <cell r="C2521">
            <v>44417</v>
          </cell>
          <cell r="N2521">
            <v>485</v>
          </cell>
          <cell r="O2521">
            <v>100</v>
          </cell>
          <cell r="AP2521">
            <v>2076</v>
          </cell>
        </row>
        <row r="2522">
          <cell r="C2522">
            <v>44417</v>
          </cell>
          <cell r="N2522">
            <v>485</v>
          </cell>
          <cell r="O2522">
            <v>100</v>
          </cell>
          <cell r="AP2522">
            <v>1396</v>
          </cell>
        </row>
        <row r="2523">
          <cell r="C2523">
            <v>44417</v>
          </cell>
          <cell r="N2523">
            <v>485</v>
          </cell>
          <cell r="O2523">
            <v>100</v>
          </cell>
          <cell r="AP2523">
            <v>1033</v>
          </cell>
        </row>
        <row r="2524">
          <cell r="C2524">
            <v>44417</v>
          </cell>
          <cell r="N2524">
            <v>485</v>
          </cell>
          <cell r="O2524">
            <v>100</v>
          </cell>
          <cell r="AP2524">
            <v>2089</v>
          </cell>
        </row>
        <row r="2525">
          <cell r="C2525">
            <v>44417</v>
          </cell>
          <cell r="N2525">
            <v>485</v>
          </cell>
          <cell r="O2525">
            <v>100</v>
          </cell>
          <cell r="AP2525">
            <v>1341</v>
          </cell>
        </row>
        <row r="2526">
          <cell r="C2526">
            <v>44417</v>
          </cell>
          <cell r="N2526">
            <v>485</v>
          </cell>
          <cell r="O2526">
            <v>100</v>
          </cell>
          <cell r="AP2526">
            <v>990</v>
          </cell>
        </row>
        <row r="2527">
          <cell r="C2527">
            <v>44417</v>
          </cell>
          <cell r="N2527">
            <v>485</v>
          </cell>
          <cell r="O2527">
            <v>100</v>
          </cell>
          <cell r="AP2527">
            <v>2001</v>
          </cell>
        </row>
        <row r="2528">
          <cell r="C2528">
            <v>44417</v>
          </cell>
          <cell r="N2528">
            <v>485.70138888888891</v>
          </cell>
          <cell r="O2528">
            <v>100</v>
          </cell>
          <cell r="AP2528">
            <v>1393</v>
          </cell>
        </row>
        <row r="2529">
          <cell r="C2529">
            <v>44417</v>
          </cell>
          <cell r="N2529">
            <v>485</v>
          </cell>
          <cell r="O2529">
            <v>100</v>
          </cell>
          <cell r="AP2529">
            <v>1029</v>
          </cell>
        </row>
        <row r="2530">
          <cell r="C2530">
            <v>44417</v>
          </cell>
          <cell r="N2530">
            <v>485</v>
          </cell>
          <cell r="O2530">
            <v>100</v>
          </cell>
          <cell r="AP2530">
            <v>2082</v>
          </cell>
        </row>
        <row r="2531">
          <cell r="C2531">
            <v>44417</v>
          </cell>
          <cell r="N2531">
            <v>485</v>
          </cell>
          <cell r="O2531">
            <v>100</v>
          </cell>
          <cell r="AP2531">
            <v>1390</v>
          </cell>
        </row>
        <row r="2532">
          <cell r="C2532">
            <v>44417</v>
          </cell>
          <cell r="N2532">
            <v>485</v>
          </cell>
          <cell r="O2532">
            <v>100</v>
          </cell>
          <cell r="AP2532">
            <v>1028</v>
          </cell>
        </row>
        <row r="2533">
          <cell r="C2533">
            <v>44417</v>
          </cell>
          <cell r="N2533">
            <v>485</v>
          </cell>
          <cell r="O2533">
            <v>100</v>
          </cell>
          <cell r="AP2533">
            <v>2079</v>
          </cell>
        </row>
        <row r="2534">
          <cell r="C2534">
            <v>44417</v>
          </cell>
          <cell r="N2534">
            <v>485</v>
          </cell>
          <cell r="O2534">
            <v>100</v>
          </cell>
          <cell r="AP2534">
            <v>1397</v>
          </cell>
        </row>
        <row r="2535">
          <cell r="C2535">
            <v>44417</v>
          </cell>
          <cell r="N2535">
            <v>480</v>
          </cell>
          <cell r="O2535">
            <v>100</v>
          </cell>
          <cell r="AP2535">
            <v>1033</v>
          </cell>
        </row>
        <row r="2536">
          <cell r="C2536">
            <v>44417</v>
          </cell>
          <cell r="N2536">
            <v>595</v>
          </cell>
          <cell r="O2536">
            <v>100</v>
          </cell>
          <cell r="AP2536">
            <v>2087</v>
          </cell>
        </row>
        <row r="2537">
          <cell r="C2537">
            <v>44417</v>
          </cell>
          <cell r="N2537">
            <v>485</v>
          </cell>
          <cell r="O2537">
            <v>100</v>
          </cell>
          <cell r="AP2537">
            <v>1369</v>
          </cell>
        </row>
        <row r="2538">
          <cell r="C2538">
            <v>44417</v>
          </cell>
          <cell r="N2538">
            <v>485</v>
          </cell>
          <cell r="O2538">
            <v>100</v>
          </cell>
          <cell r="AP2538">
            <v>2137</v>
          </cell>
        </row>
        <row r="2539">
          <cell r="C2539">
            <v>44417</v>
          </cell>
          <cell r="N2539">
            <v>485</v>
          </cell>
          <cell r="O2539">
            <v>100</v>
          </cell>
          <cell r="AP2539">
            <v>1077</v>
          </cell>
        </row>
        <row r="2540">
          <cell r="C2540">
            <v>44417</v>
          </cell>
          <cell r="N2540">
            <v>485</v>
          </cell>
          <cell r="O2540">
            <v>100</v>
          </cell>
          <cell r="AP2540">
            <v>1313</v>
          </cell>
        </row>
        <row r="2541">
          <cell r="C2541">
            <v>44417</v>
          </cell>
          <cell r="N2541">
            <v>485</v>
          </cell>
          <cell r="O2541">
            <v>100</v>
          </cell>
          <cell r="AP2541">
            <v>2046</v>
          </cell>
        </row>
        <row r="2542">
          <cell r="C2542">
            <v>44417</v>
          </cell>
          <cell r="N2542">
            <v>485</v>
          </cell>
          <cell r="O2542">
            <v>100</v>
          </cell>
          <cell r="AP2542">
            <v>1031</v>
          </cell>
        </row>
        <row r="2543">
          <cell r="C2543">
            <v>44415</v>
          </cell>
          <cell r="N2543">
            <v>485</v>
          </cell>
          <cell r="O2543">
            <v>100</v>
          </cell>
          <cell r="AP2543">
            <v>1302</v>
          </cell>
        </row>
        <row r="2544">
          <cell r="C2544">
            <v>44415</v>
          </cell>
          <cell r="N2544">
            <v>485</v>
          </cell>
          <cell r="O2544">
            <v>100</v>
          </cell>
          <cell r="AP2544">
            <v>1349</v>
          </cell>
        </row>
        <row r="2545">
          <cell r="C2545">
            <v>44415</v>
          </cell>
          <cell r="N2545">
            <v>485</v>
          </cell>
          <cell r="O2545">
            <v>100</v>
          </cell>
          <cell r="AP2545">
            <v>1293</v>
          </cell>
        </row>
        <row r="2546">
          <cell r="C2546">
            <v>44415</v>
          </cell>
          <cell r="N2546">
            <v>485</v>
          </cell>
          <cell r="O2546">
            <v>100</v>
          </cell>
          <cell r="AP2546">
            <v>1303</v>
          </cell>
        </row>
        <row r="2547">
          <cell r="C2547">
            <v>44415</v>
          </cell>
          <cell r="N2547">
            <v>485</v>
          </cell>
          <cell r="O2547">
            <v>100</v>
          </cell>
          <cell r="AP2547">
            <v>1351</v>
          </cell>
        </row>
        <row r="2548">
          <cell r="C2548">
            <v>44415</v>
          </cell>
          <cell r="N2548">
            <v>485</v>
          </cell>
          <cell r="O2548">
            <v>100</v>
          </cell>
          <cell r="AP2548">
            <v>1295</v>
          </cell>
        </row>
        <row r="2549">
          <cell r="C2549">
            <v>44415</v>
          </cell>
          <cell r="N2549">
            <v>485</v>
          </cell>
          <cell r="O2549">
            <v>100</v>
          </cell>
          <cell r="AP2549">
            <v>1129</v>
          </cell>
        </row>
        <row r="2550">
          <cell r="C2550">
            <v>44415</v>
          </cell>
          <cell r="N2550">
            <v>485</v>
          </cell>
          <cell r="O2550">
            <v>100</v>
          </cell>
          <cell r="AP2550">
            <v>785</v>
          </cell>
        </row>
        <row r="2551">
          <cell r="C2551">
            <v>44415</v>
          </cell>
          <cell r="N2551">
            <v>485</v>
          </cell>
          <cell r="O2551">
            <v>100</v>
          </cell>
          <cell r="AP2551">
            <v>903</v>
          </cell>
        </row>
        <row r="2552">
          <cell r="C2552">
            <v>44415</v>
          </cell>
          <cell r="N2552">
            <v>485</v>
          </cell>
          <cell r="O2552">
            <v>100</v>
          </cell>
          <cell r="AP2552">
            <v>967</v>
          </cell>
        </row>
        <row r="2553">
          <cell r="C2553">
            <v>44415</v>
          </cell>
          <cell r="N2553">
            <v>485</v>
          </cell>
          <cell r="O2553">
            <v>100</v>
          </cell>
          <cell r="AP2553">
            <v>1132</v>
          </cell>
        </row>
        <row r="2554">
          <cell r="C2554">
            <v>44415</v>
          </cell>
          <cell r="N2554">
            <v>485</v>
          </cell>
          <cell r="O2554">
            <v>100</v>
          </cell>
          <cell r="AP2554">
            <v>786</v>
          </cell>
        </row>
        <row r="2555">
          <cell r="C2555">
            <v>44415</v>
          </cell>
          <cell r="N2555">
            <v>485</v>
          </cell>
          <cell r="O2555">
            <v>100</v>
          </cell>
          <cell r="AP2555">
            <v>904</v>
          </cell>
        </row>
        <row r="2556">
          <cell r="C2556">
            <v>44415</v>
          </cell>
          <cell r="N2556">
            <v>485</v>
          </cell>
          <cell r="O2556">
            <v>100</v>
          </cell>
          <cell r="AP2556">
            <v>970</v>
          </cell>
        </row>
        <row r="2557">
          <cell r="C2557">
            <v>44415</v>
          </cell>
          <cell r="N2557">
            <v>485</v>
          </cell>
          <cell r="O2557">
            <v>100</v>
          </cell>
          <cell r="AP2557">
            <v>1164</v>
          </cell>
        </row>
        <row r="2558">
          <cell r="C2558">
            <v>44415</v>
          </cell>
          <cell r="N2558">
            <v>485</v>
          </cell>
          <cell r="O2558">
            <v>100</v>
          </cell>
          <cell r="AP2558">
            <v>809</v>
          </cell>
        </row>
        <row r="2559">
          <cell r="C2559">
            <v>44415</v>
          </cell>
          <cell r="N2559">
            <v>485</v>
          </cell>
          <cell r="O2559">
            <v>100</v>
          </cell>
          <cell r="AP2559">
            <v>929</v>
          </cell>
        </row>
        <row r="2560">
          <cell r="C2560">
            <v>44415</v>
          </cell>
          <cell r="N2560">
            <v>485</v>
          </cell>
          <cell r="O2560">
            <v>100</v>
          </cell>
          <cell r="AP2560">
            <v>997</v>
          </cell>
        </row>
        <row r="2561">
          <cell r="C2561">
            <v>44415</v>
          </cell>
          <cell r="N2561">
            <v>485</v>
          </cell>
          <cell r="O2561">
            <v>100</v>
          </cell>
          <cell r="AP2561">
            <v>1147</v>
          </cell>
        </row>
        <row r="2562">
          <cell r="C2562">
            <v>44415</v>
          </cell>
          <cell r="N2562">
            <v>485</v>
          </cell>
          <cell r="O2562">
            <v>100</v>
          </cell>
          <cell r="AP2562">
            <v>798</v>
          </cell>
        </row>
        <row r="2563">
          <cell r="C2563">
            <v>44415</v>
          </cell>
          <cell r="N2563">
            <v>485</v>
          </cell>
          <cell r="O2563">
            <v>100</v>
          </cell>
          <cell r="AP2563">
            <v>916</v>
          </cell>
        </row>
        <row r="2564">
          <cell r="C2564">
            <v>44415</v>
          </cell>
          <cell r="N2564">
            <v>485</v>
          </cell>
          <cell r="O2564">
            <v>100</v>
          </cell>
          <cell r="AP2564">
            <v>981</v>
          </cell>
        </row>
        <row r="2565">
          <cell r="C2565">
            <v>44415</v>
          </cell>
          <cell r="N2565">
            <v>485</v>
          </cell>
          <cell r="O2565">
            <v>100</v>
          </cell>
          <cell r="AP2565">
            <v>1161</v>
          </cell>
        </row>
        <row r="2566">
          <cell r="C2566">
            <v>44415</v>
          </cell>
          <cell r="N2566">
            <v>485</v>
          </cell>
          <cell r="O2566">
            <v>100</v>
          </cell>
          <cell r="AP2566">
            <v>726</v>
          </cell>
        </row>
        <row r="2567">
          <cell r="C2567">
            <v>44415</v>
          </cell>
          <cell r="N2567">
            <v>485</v>
          </cell>
          <cell r="O2567">
            <v>100</v>
          </cell>
          <cell r="AP2567">
            <v>887</v>
          </cell>
        </row>
        <row r="2568">
          <cell r="C2568">
            <v>44415</v>
          </cell>
          <cell r="N2568">
            <v>485</v>
          </cell>
          <cell r="O2568">
            <v>100</v>
          </cell>
          <cell r="AP2568">
            <v>1109</v>
          </cell>
        </row>
        <row r="2569">
          <cell r="C2569">
            <v>44416</v>
          </cell>
          <cell r="N2569">
            <v>485</v>
          </cell>
          <cell r="O2569">
            <v>100</v>
          </cell>
          <cell r="AP2569">
            <v>1220</v>
          </cell>
        </row>
        <row r="2570">
          <cell r="C2570">
            <v>44416</v>
          </cell>
          <cell r="N2570">
            <v>485</v>
          </cell>
          <cell r="O2570">
            <v>100</v>
          </cell>
          <cell r="AP2570">
            <v>765</v>
          </cell>
        </row>
        <row r="2571">
          <cell r="C2571">
            <v>44416</v>
          </cell>
          <cell r="N2571">
            <v>485</v>
          </cell>
          <cell r="O2571">
            <v>100</v>
          </cell>
          <cell r="AP2571">
            <v>932</v>
          </cell>
        </row>
        <row r="2572">
          <cell r="C2572">
            <v>44416</v>
          </cell>
          <cell r="N2572">
            <v>485</v>
          </cell>
          <cell r="O2572">
            <v>100</v>
          </cell>
          <cell r="AP2572">
            <v>1166</v>
          </cell>
        </row>
        <row r="2573">
          <cell r="C2573">
            <v>44416</v>
          </cell>
          <cell r="N2573">
            <v>485</v>
          </cell>
          <cell r="O2573">
            <v>100</v>
          </cell>
          <cell r="AP2573">
            <v>1234</v>
          </cell>
        </row>
        <row r="2574">
          <cell r="C2574">
            <v>44416</v>
          </cell>
          <cell r="N2574">
            <v>485</v>
          </cell>
          <cell r="O2574">
            <v>100</v>
          </cell>
          <cell r="AP2574">
            <v>772</v>
          </cell>
        </row>
        <row r="2575">
          <cell r="C2575">
            <v>44416</v>
          </cell>
          <cell r="N2575">
            <v>485</v>
          </cell>
          <cell r="O2575">
            <v>100</v>
          </cell>
          <cell r="AP2575">
            <v>934</v>
          </cell>
        </row>
        <row r="2576">
          <cell r="C2576">
            <v>44416</v>
          </cell>
          <cell r="N2576">
            <v>485</v>
          </cell>
          <cell r="O2576">
            <v>100</v>
          </cell>
          <cell r="AP2576">
            <v>1179</v>
          </cell>
        </row>
        <row r="2577">
          <cell r="C2577">
            <v>44416</v>
          </cell>
          <cell r="N2577">
            <v>485</v>
          </cell>
          <cell r="O2577">
            <v>100</v>
          </cell>
          <cell r="AP2577">
            <v>1238</v>
          </cell>
        </row>
        <row r="2578">
          <cell r="C2578">
            <v>44416</v>
          </cell>
          <cell r="N2578">
            <v>485</v>
          </cell>
          <cell r="O2578">
            <v>100</v>
          </cell>
          <cell r="AP2578">
            <v>774</v>
          </cell>
        </row>
        <row r="2579">
          <cell r="C2579">
            <v>44416</v>
          </cell>
          <cell r="N2579">
            <v>485</v>
          </cell>
          <cell r="O2579">
            <v>100</v>
          </cell>
          <cell r="AP2579">
            <v>946</v>
          </cell>
        </row>
        <row r="2580">
          <cell r="C2580">
            <v>44416</v>
          </cell>
          <cell r="N2580">
            <v>485</v>
          </cell>
          <cell r="O2580">
            <v>100</v>
          </cell>
          <cell r="AP2580">
            <v>1181</v>
          </cell>
        </row>
        <row r="2581">
          <cell r="C2581">
            <v>44416</v>
          </cell>
          <cell r="N2581">
            <v>485</v>
          </cell>
          <cell r="O2581">
            <v>100</v>
          </cell>
          <cell r="AP2581">
            <v>1245</v>
          </cell>
        </row>
        <row r="2582">
          <cell r="C2582">
            <v>44416</v>
          </cell>
          <cell r="N2582">
            <v>485</v>
          </cell>
          <cell r="O2582">
            <v>100</v>
          </cell>
          <cell r="AP2582">
            <v>778</v>
          </cell>
        </row>
        <row r="2583">
          <cell r="C2583">
            <v>44416</v>
          </cell>
          <cell r="N2583">
            <v>485</v>
          </cell>
          <cell r="O2583">
            <v>100</v>
          </cell>
          <cell r="AP2583">
            <v>950</v>
          </cell>
        </row>
        <row r="2584">
          <cell r="C2584">
            <v>44416</v>
          </cell>
          <cell r="N2584">
            <v>485</v>
          </cell>
          <cell r="O2584">
            <v>100</v>
          </cell>
          <cell r="AP2584">
            <v>1187</v>
          </cell>
        </row>
        <row r="2585">
          <cell r="C2585">
            <v>44417</v>
          </cell>
          <cell r="N2585">
            <v>485</v>
          </cell>
          <cell r="O2585">
            <v>100</v>
          </cell>
          <cell r="AP2585">
            <v>1273</v>
          </cell>
        </row>
        <row r="2586">
          <cell r="C2586">
            <v>44417</v>
          </cell>
          <cell r="N2586">
            <v>485</v>
          </cell>
          <cell r="O2586">
            <v>100</v>
          </cell>
          <cell r="AP2586">
            <v>1983</v>
          </cell>
        </row>
        <row r="2587">
          <cell r="C2587">
            <v>44417</v>
          </cell>
          <cell r="N2587">
            <v>485</v>
          </cell>
          <cell r="O2587">
            <v>100</v>
          </cell>
          <cell r="AP2587">
            <v>1003</v>
          </cell>
        </row>
        <row r="2588">
          <cell r="C2588">
            <v>44417</v>
          </cell>
          <cell r="N2588">
            <v>485</v>
          </cell>
          <cell r="O2588">
            <v>100</v>
          </cell>
          <cell r="AP2588">
            <v>1280</v>
          </cell>
        </row>
        <row r="2589">
          <cell r="C2589">
            <v>44417</v>
          </cell>
          <cell r="N2589">
            <v>485</v>
          </cell>
          <cell r="O2589">
            <v>100</v>
          </cell>
          <cell r="AP2589">
            <v>1993</v>
          </cell>
        </row>
        <row r="2590">
          <cell r="C2590">
            <v>44417</v>
          </cell>
          <cell r="N2590">
            <v>485</v>
          </cell>
          <cell r="O2590">
            <v>100</v>
          </cell>
          <cell r="AP2590">
            <v>1009</v>
          </cell>
        </row>
        <row r="2591">
          <cell r="C2591">
            <v>44417</v>
          </cell>
          <cell r="N2591">
            <v>485</v>
          </cell>
          <cell r="O2591">
            <v>100</v>
          </cell>
          <cell r="AP2591">
            <v>1291</v>
          </cell>
        </row>
        <row r="2592">
          <cell r="C2592">
            <v>44417</v>
          </cell>
          <cell r="N2592">
            <v>485</v>
          </cell>
          <cell r="O2592">
            <v>100</v>
          </cell>
          <cell r="AP2592">
            <v>1943</v>
          </cell>
        </row>
        <row r="2593">
          <cell r="C2593">
            <v>44417</v>
          </cell>
          <cell r="N2593">
            <v>485</v>
          </cell>
          <cell r="O2593">
            <v>100</v>
          </cell>
          <cell r="AP2593">
            <v>1017</v>
          </cell>
        </row>
        <row r="2594">
          <cell r="C2594">
            <v>44417</v>
          </cell>
          <cell r="N2594">
            <v>485</v>
          </cell>
          <cell r="O2594">
            <v>100</v>
          </cell>
          <cell r="AP2594">
            <v>1290</v>
          </cell>
        </row>
        <row r="2595">
          <cell r="C2595">
            <v>44417</v>
          </cell>
          <cell r="N2595">
            <v>485</v>
          </cell>
          <cell r="O2595">
            <v>100</v>
          </cell>
          <cell r="AP2595">
            <v>2011</v>
          </cell>
        </row>
        <row r="2596">
          <cell r="C2596">
            <v>44417</v>
          </cell>
          <cell r="N2596">
            <v>485</v>
          </cell>
          <cell r="O2596">
            <v>100</v>
          </cell>
          <cell r="AP2596">
            <v>1016</v>
          </cell>
        </row>
        <row r="2597">
          <cell r="C2597">
            <v>44417</v>
          </cell>
          <cell r="N2597">
            <v>485</v>
          </cell>
          <cell r="O2597">
            <v>100</v>
          </cell>
          <cell r="AP2597">
            <v>1332</v>
          </cell>
        </row>
        <row r="2598">
          <cell r="C2598">
            <v>44417</v>
          </cell>
          <cell r="N2598">
            <v>485</v>
          </cell>
          <cell r="O2598">
            <v>100</v>
          </cell>
          <cell r="AP2598">
            <v>2074</v>
          </cell>
        </row>
        <row r="2599">
          <cell r="C2599">
            <v>44417</v>
          </cell>
          <cell r="N2599">
            <v>485</v>
          </cell>
          <cell r="O2599">
            <v>100</v>
          </cell>
          <cell r="AP2599">
            <v>1048</v>
          </cell>
        </row>
        <row r="2600">
          <cell r="C2600">
            <v>44417</v>
          </cell>
          <cell r="N2600">
            <v>485</v>
          </cell>
          <cell r="O2600">
            <v>100</v>
          </cell>
          <cell r="AP2600">
            <v>1342</v>
          </cell>
        </row>
        <row r="2601">
          <cell r="C2601">
            <v>44417</v>
          </cell>
          <cell r="N2601">
            <v>485</v>
          </cell>
          <cell r="O2601">
            <v>100</v>
          </cell>
          <cell r="AP2601">
            <v>1968</v>
          </cell>
        </row>
        <row r="2602">
          <cell r="C2602">
            <v>44417</v>
          </cell>
          <cell r="N2602">
            <v>485</v>
          </cell>
          <cell r="O2602">
            <v>100</v>
          </cell>
          <cell r="AP2602">
            <v>1017</v>
          </cell>
        </row>
        <row r="2603">
          <cell r="C2603">
            <v>44417</v>
          </cell>
          <cell r="N2603">
            <v>485</v>
          </cell>
          <cell r="O2603">
            <v>100</v>
          </cell>
          <cell r="AP2603">
            <v>1307</v>
          </cell>
        </row>
        <row r="2604">
          <cell r="C2604">
            <v>44417</v>
          </cell>
          <cell r="N2604">
            <v>485</v>
          </cell>
          <cell r="O2604">
            <v>100</v>
          </cell>
          <cell r="AP2604">
            <v>1913</v>
          </cell>
        </row>
        <row r="2605">
          <cell r="C2605">
            <v>44417</v>
          </cell>
          <cell r="N2605">
            <v>485</v>
          </cell>
          <cell r="O2605">
            <v>100</v>
          </cell>
          <cell r="AP2605">
            <v>989</v>
          </cell>
        </row>
        <row r="2606">
          <cell r="C2606">
            <v>44417</v>
          </cell>
          <cell r="N2606">
            <v>485</v>
          </cell>
          <cell r="O2606">
            <v>100</v>
          </cell>
          <cell r="AP2606">
            <v>1306</v>
          </cell>
        </row>
        <row r="2607">
          <cell r="C2607">
            <v>44417</v>
          </cell>
          <cell r="N2607">
            <v>485</v>
          </cell>
          <cell r="O2607">
            <v>100</v>
          </cell>
          <cell r="AP2607">
            <v>1918</v>
          </cell>
        </row>
        <row r="2608">
          <cell r="C2608">
            <v>44417</v>
          </cell>
          <cell r="N2608">
            <v>485</v>
          </cell>
          <cell r="O2608">
            <v>100</v>
          </cell>
          <cell r="AP2608">
            <v>995</v>
          </cell>
        </row>
        <row r="2609">
          <cell r="C2609">
            <v>44417</v>
          </cell>
          <cell r="N2609">
            <v>485</v>
          </cell>
          <cell r="O2609">
            <v>100</v>
          </cell>
          <cell r="AP2609">
            <v>1305</v>
          </cell>
        </row>
        <row r="2610">
          <cell r="C2610">
            <v>44417</v>
          </cell>
          <cell r="N2610">
            <v>485</v>
          </cell>
          <cell r="O2610">
            <v>100</v>
          </cell>
          <cell r="AP2610">
            <v>1921</v>
          </cell>
        </row>
        <row r="2611">
          <cell r="C2611">
            <v>44417</v>
          </cell>
          <cell r="N2611">
            <v>485</v>
          </cell>
          <cell r="O2611">
            <v>100</v>
          </cell>
          <cell r="AP2611">
            <v>995</v>
          </cell>
        </row>
        <row r="2612">
          <cell r="C2612">
            <v>44417</v>
          </cell>
          <cell r="N2612">
            <v>485</v>
          </cell>
          <cell r="O2612">
            <v>100</v>
          </cell>
          <cell r="AP2612">
            <v>1302</v>
          </cell>
        </row>
        <row r="2613">
          <cell r="C2613">
            <v>44417</v>
          </cell>
          <cell r="N2613">
            <v>485</v>
          </cell>
          <cell r="O2613">
            <v>100</v>
          </cell>
          <cell r="AP2613">
            <v>1919</v>
          </cell>
        </row>
        <row r="2614">
          <cell r="C2614">
            <v>44417</v>
          </cell>
          <cell r="N2614">
            <v>485</v>
          </cell>
          <cell r="O2614">
            <v>100</v>
          </cell>
          <cell r="AP2614">
            <v>995</v>
          </cell>
        </row>
        <row r="2615">
          <cell r="C2615">
            <v>44417</v>
          </cell>
          <cell r="N2615">
            <v>485</v>
          </cell>
          <cell r="O2615">
            <v>100</v>
          </cell>
          <cell r="AP2615">
            <v>1298</v>
          </cell>
        </row>
        <row r="2616">
          <cell r="C2616">
            <v>44417</v>
          </cell>
          <cell r="N2616">
            <v>485</v>
          </cell>
          <cell r="O2616">
            <v>100</v>
          </cell>
          <cell r="AP2616">
            <v>1816</v>
          </cell>
        </row>
        <row r="2617">
          <cell r="C2617">
            <v>44417</v>
          </cell>
          <cell r="N2617">
            <v>485</v>
          </cell>
          <cell r="O2617">
            <v>100</v>
          </cell>
          <cell r="AP2617">
            <v>962</v>
          </cell>
        </row>
        <row r="2618">
          <cell r="C2618">
            <v>44417</v>
          </cell>
          <cell r="N2618">
            <v>485</v>
          </cell>
          <cell r="O2618">
            <v>100</v>
          </cell>
          <cell r="AP2618">
            <v>1366</v>
          </cell>
        </row>
        <row r="2619">
          <cell r="C2619">
            <v>44417</v>
          </cell>
          <cell r="N2619">
            <v>485</v>
          </cell>
          <cell r="O2619">
            <v>100</v>
          </cell>
          <cell r="AP2619">
            <v>1905</v>
          </cell>
        </row>
        <row r="2620">
          <cell r="C2620">
            <v>44417</v>
          </cell>
          <cell r="N2620">
            <v>485</v>
          </cell>
          <cell r="O2620">
            <v>100</v>
          </cell>
          <cell r="AP2620">
            <v>1006</v>
          </cell>
        </row>
        <row r="2621">
          <cell r="C2621">
            <v>44417</v>
          </cell>
          <cell r="N2621">
            <v>485</v>
          </cell>
          <cell r="O2621">
            <v>100</v>
          </cell>
          <cell r="AP2621">
            <v>1359</v>
          </cell>
        </row>
        <row r="2622">
          <cell r="C2622">
            <v>44417</v>
          </cell>
          <cell r="N2622">
            <v>485</v>
          </cell>
          <cell r="O2622">
            <v>100</v>
          </cell>
          <cell r="AP2622">
            <v>1895</v>
          </cell>
        </row>
        <row r="2623">
          <cell r="C2623">
            <v>44417</v>
          </cell>
          <cell r="N2623">
            <v>485</v>
          </cell>
          <cell r="O2623">
            <v>100</v>
          </cell>
          <cell r="AP2623">
            <v>1002</v>
          </cell>
        </row>
        <row r="2624">
          <cell r="C2624">
            <v>44417</v>
          </cell>
          <cell r="N2624">
            <v>485</v>
          </cell>
          <cell r="O2624">
            <v>100</v>
          </cell>
          <cell r="AP2624">
            <v>1363</v>
          </cell>
        </row>
        <row r="2625">
          <cell r="C2625">
            <v>44417</v>
          </cell>
          <cell r="N2625">
            <v>485</v>
          </cell>
          <cell r="O2625">
            <v>100</v>
          </cell>
          <cell r="AP2625">
            <v>1900</v>
          </cell>
        </row>
        <row r="2626">
          <cell r="C2626">
            <v>44417</v>
          </cell>
          <cell r="N2626">
            <v>485</v>
          </cell>
          <cell r="O2626">
            <v>100</v>
          </cell>
          <cell r="AP2626">
            <v>1005</v>
          </cell>
        </row>
        <row r="2627">
          <cell r="C2627">
            <v>44417</v>
          </cell>
          <cell r="N2627">
            <v>485</v>
          </cell>
          <cell r="O2627">
            <v>100</v>
          </cell>
          <cell r="AP2627">
            <v>1361</v>
          </cell>
        </row>
        <row r="2628">
          <cell r="C2628">
            <v>44417</v>
          </cell>
          <cell r="N2628">
            <v>485</v>
          </cell>
          <cell r="O2628">
            <v>100</v>
          </cell>
          <cell r="AP2628">
            <v>1896</v>
          </cell>
        </row>
        <row r="2629">
          <cell r="C2629">
            <v>44417</v>
          </cell>
          <cell r="N2629">
            <v>485</v>
          </cell>
          <cell r="O2629">
            <v>100</v>
          </cell>
          <cell r="AP2629">
            <v>1003</v>
          </cell>
        </row>
        <row r="2630">
          <cell r="C2630">
            <v>44417</v>
          </cell>
          <cell r="N2630">
            <v>485</v>
          </cell>
          <cell r="O2630">
            <v>100</v>
          </cell>
          <cell r="AP2630">
            <v>1406</v>
          </cell>
        </row>
        <row r="2631">
          <cell r="C2631">
            <v>44417</v>
          </cell>
          <cell r="N2631">
            <v>485</v>
          </cell>
          <cell r="O2631">
            <v>100</v>
          </cell>
          <cell r="AP2631">
            <v>1958</v>
          </cell>
        </row>
        <row r="2632">
          <cell r="C2632">
            <v>44417</v>
          </cell>
          <cell r="N2632">
            <v>485</v>
          </cell>
          <cell r="O2632">
            <v>100</v>
          </cell>
          <cell r="AP2632">
            <v>1035</v>
          </cell>
        </row>
        <row r="2633">
          <cell r="C2633">
            <v>44417</v>
          </cell>
          <cell r="N2633">
            <v>485</v>
          </cell>
          <cell r="O2633">
            <v>100</v>
          </cell>
          <cell r="AP2633">
            <v>1406</v>
          </cell>
        </row>
        <row r="2634">
          <cell r="C2634">
            <v>44417</v>
          </cell>
          <cell r="N2634">
            <v>485</v>
          </cell>
          <cell r="O2634">
            <v>100</v>
          </cell>
          <cell r="AP2634">
            <v>1958</v>
          </cell>
        </row>
        <row r="2635">
          <cell r="C2635">
            <v>44417</v>
          </cell>
          <cell r="N2635">
            <v>485</v>
          </cell>
          <cell r="O2635">
            <v>100</v>
          </cell>
          <cell r="AP2635">
            <v>1003</v>
          </cell>
        </row>
        <row r="2636">
          <cell r="C2636">
            <v>44416</v>
          </cell>
          <cell r="N2636">
            <v>485</v>
          </cell>
          <cell r="O2636">
            <v>100</v>
          </cell>
          <cell r="AP2636">
            <v>1009</v>
          </cell>
        </row>
        <row r="2637">
          <cell r="C2637">
            <v>44416</v>
          </cell>
          <cell r="N2637">
            <v>485</v>
          </cell>
          <cell r="O2637">
            <v>100</v>
          </cell>
          <cell r="AP2637">
            <v>744</v>
          </cell>
        </row>
        <row r="2638">
          <cell r="C2638">
            <v>44416</v>
          </cell>
          <cell r="N2638">
            <v>485</v>
          </cell>
          <cell r="O2638">
            <v>100</v>
          </cell>
          <cell r="AP2638">
            <v>1015</v>
          </cell>
        </row>
        <row r="2639">
          <cell r="C2639">
            <v>44416</v>
          </cell>
          <cell r="N2639">
            <v>485</v>
          </cell>
          <cell r="O2639">
            <v>100</v>
          </cell>
          <cell r="AP2639">
            <v>1000</v>
          </cell>
        </row>
        <row r="2640">
          <cell r="C2640">
            <v>44416</v>
          </cell>
          <cell r="N2640">
            <v>485</v>
          </cell>
          <cell r="O2640">
            <v>100</v>
          </cell>
          <cell r="AP2640">
            <v>1032</v>
          </cell>
        </row>
        <row r="2641">
          <cell r="C2641">
            <v>44416</v>
          </cell>
          <cell r="N2641">
            <v>485</v>
          </cell>
          <cell r="O2641">
            <v>100</v>
          </cell>
          <cell r="AP2641">
            <v>762</v>
          </cell>
        </row>
        <row r="2642">
          <cell r="C2642">
            <v>44416</v>
          </cell>
          <cell r="N2642">
            <v>485</v>
          </cell>
          <cell r="O2642">
            <v>100</v>
          </cell>
          <cell r="AP2642">
            <v>1038</v>
          </cell>
        </row>
        <row r="2643">
          <cell r="C2643">
            <v>44416</v>
          </cell>
          <cell r="N2643">
            <v>485</v>
          </cell>
          <cell r="O2643">
            <v>100</v>
          </cell>
          <cell r="AP2643">
            <v>1023</v>
          </cell>
        </row>
        <row r="2644">
          <cell r="C2644">
            <v>44416</v>
          </cell>
          <cell r="N2644">
            <v>485</v>
          </cell>
          <cell r="O2644">
            <v>100</v>
          </cell>
          <cell r="AP2644">
            <v>1027</v>
          </cell>
        </row>
        <row r="2645">
          <cell r="C2645">
            <v>44416</v>
          </cell>
          <cell r="N2645">
            <v>485</v>
          </cell>
          <cell r="O2645">
            <v>100</v>
          </cell>
          <cell r="AP2645">
            <v>759</v>
          </cell>
        </row>
        <row r="2646">
          <cell r="C2646">
            <v>44416</v>
          </cell>
          <cell r="N2646">
            <v>485</v>
          </cell>
          <cell r="O2646">
            <v>100</v>
          </cell>
          <cell r="AP2646">
            <v>1036</v>
          </cell>
        </row>
        <row r="2647">
          <cell r="C2647">
            <v>44416</v>
          </cell>
          <cell r="N2647">
            <v>485</v>
          </cell>
          <cell r="O2647">
            <v>100</v>
          </cell>
          <cell r="AP2647">
            <v>1020</v>
          </cell>
        </row>
        <row r="2648">
          <cell r="C2648">
            <v>44416</v>
          </cell>
          <cell r="N2648">
            <v>485</v>
          </cell>
          <cell r="O2648">
            <v>100</v>
          </cell>
          <cell r="AP2648">
            <v>1094</v>
          </cell>
        </row>
        <row r="2649">
          <cell r="C2649">
            <v>44416</v>
          </cell>
          <cell r="N2649">
            <v>485</v>
          </cell>
          <cell r="O2649">
            <v>100</v>
          </cell>
          <cell r="AP2649">
            <v>749</v>
          </cell>
        </row>
        <row r="2650">
          <cell r="C2650">
            <v>44416</v>
          </cell>
          <cell r="N2650">
            <v>485</v>
          </cell>
          <cell r="O2650">
            <v>100</v>
          </cell>
          <cell r="AP2650">
            <v>827</v>
          </cell>
        </row>
        <row r="2651">
          <cell r="C2651">
            <v>44416</v>
          </cell>
          <cell r="N2651">
            <v>485</v>
          </cell>
          <cell r="O2651">
            <v>100</v>
          </cell>
          <cell r="AP2651">
            <v>1048</v>
          </cell>
        </row>
        <row r="2652">
          <cell r="C2652">
            <v>44416</v>
          </cell>
          <cell r="N2652">
            <v>485</v>
          </cell>
          <cell r="O2652">
            <v>100</v>
          </cell>
          <cell r="AP2652">
            <v>1066</v>
          </cell>
        </row>
        <row r="2653">
          <cell r="C2653">
            <v>44416</v>
          </cell>
          <cell r="N2653">
            <v>485</v>
          </cell>
          <cell r="O2653">
            <v>100</v>
          </cell>
          <cell r="AP2653">
            <v>730</v>
          </cell>
        </row>
        <row r="2654">
          <cell r="C2654">
            <v>44416</v>
          </cell>
          <cell r="N2654">
            <v>485</v>
          </cell>
          <cell r="O2654">
            <v>100</v>
          </cell>
          <cell r="AP2654">
            <v>806</v>
          </cell>
        </row>
        <row r="2655">
          <cell r="C2655">
            <v>44416</v>
          </cell>
          <cell r="N2655">
            <v>485</v>
          </cell>
          <cell r="O2655">
            <v>100</v>
          </cell>
          <cell r="AP2655">
            <v>1023</v>
          </cell>
        </row>
        <row r="2656">
          <cell r="C2656">
            <v>44416</v>
          </cell>
          <cell r="N2656">
            <v>485</v>
          </cell>
          <cell r="O2656">
            <v>100</v>
          </cell>
          <cell r="AP2656">
            <v>1022</v>
          </cell>
        </row>
        <row r="2657">
          <cell r="C2657">
            <v>44416</v>
          </cell>
          <cell r="N2657">
            <v>485</v>
          </cell>
          <cell r="O2657">
            <v>100</v>
          </cell>
          <cell r="AP2657">
            <v>700</v>
          </cell>
        </row>
        <row r="2658">
          <cell r="C2658">
            <v>44416</v>
          </cell>
          <cell r="N2658">
            <v>485</v>
          </cell>
          <cell r="O2658">
            <v>100</v>
          </cell>
          <cell r="AP2658">
            <v>772</v>
          </cell>
        </row>
        <row r="2659">
          <cell r="C2659">
            <v>44416</v>
          </cell>
          <cell r="N2659">
            <v>485</v>
          </cell>
          <cell r="O2659">
            <v>100</v>
          </cell>
          <cell r="AP2659">
            <v>979</v>
          </cell>
        </row>
        <row r="2660">
          <cell r="C2660">
            <v>44417</v>
          </cell>
          <cell r="N2660">
            <v>485</v>
          </cell>
          <cell r="O2660">
            <v>100</v>
          </cell>
          <cell r="AP2660">
            <v>1452</v>
          </cell>
        </row>
        <row r="2661">
          <cell r="C2661">
            <v>44417</v>
          </cell>
          <cell r="N2661">
            <v>485</v>
          </cell>
          <cell r="O2661">
            <v>100</v>
          </cell>
          <cell r="AP2661">
            <v>2022</v>
          </cell>
        </row>
        <row r="2662">
          <cell r="C2662">
            <v>44417</v>
          </cell>
          <cell r="N2662">
            <v>485</v>
          </cell>
          <cell r="O2662">
            <v>100</v>
          </cell>
          <cell r="AP2662">
            <v>1067</v>
          </cell>
        </row>
        <row r="2663">
          <cell r="C2663">
            <v>44417</v>
          </cell>
          <cell r="N2663">
            <v>485</v>
          </cell>
          <cell r="O2663">
            <v>100</v>
          </cell>
          <cell r="AP2663">
            <v>1328</v>
          </cell>
        </row>
        <row r="2664">
          <cell r="C2664">
            <v>44417</v>
          </cell>
          <cell r="N2664">
            <v>485</v>
          </cell>
          <cell r="O2664">
            <v>100</v>
          </cell>
          <cell r="AP2664">
            <v>1913</v>
          </cell>
        </row>
        <row r="2665">
          <cell r="C2665">
            <v>44417</v>
          </cell>
          <cell r="N2665">
            <v>485</v>
          </cell>
          <cell r="O2665">
            <v>100</v>
          </cell>
          <cell r="AP2665">
            <v>1055</v>
          </cell>
        </row>
        <row r="2666">
          <cell r="C2666">
            <v>44417</v>
          </cell>
          <cell r="N2666">
            <v>485</v>
          </cell>
          <cell r="O2666">
            <v>100</v>
          </cell>
          <cell r="AP2666">
            <v>1384</v>
          </cell>
        </row>
        <row r="2667">
          <cell r="C2667">
            <v>44417</v>
          </cell>
          <cell r="N2667">
            <v>485</v>
          </cell>
          <cell r="O2667">
            <v>100</v>
          </cell>
          <cell r="AP2667">
            <v>1995</v>
          </cell>
        </row>
        <row r="2668">
          <cell r="C2668">
            <v>44417</v>
          </cell>
          <cell r="N2668">
            <v>485</v>
          </cell>
          <cell r="O2668">
            <v>100</v>
          </cell>
          <cell r="AP2668">
            <v>1100</v>
          </cell>
        </row>
        <row r="2669">
          <cell r="C2669">
            <v>44417</v>
          </cell>
          <cell r="N2669">
            <v>485</v>
          </cell>
          <cell r="O2669">
            <v>100</v>
          </cell>
          <cell r="AP2669">
            <v>1413</v>
          </cell>
        </row>
        <row r="2670">
          <cell r="C2670">
            <v>44417</v>
          </cell>
          <cell r="N2670">
            <v>485</v>
          </cell>
          <cell r="O2670">
            <v>100</v>
          </cell>
          <cell r="AP2670">
            <v>2038</v>
          </cell>
        </row>
        <row r="2671">
          <cell r="C2671">
            <v>44417</v>
          </cell>
          <cell r="N2671">
            <v>485</v>
          </cell>
          <cell r="O2671">
            <v>100</v>
          </cell>
          <cell r="AP2671">
            <v>1122</v>
          </cell>
        </row>
        <row r="2672">
          <cell r="C2672">
            <v>44417</v>
          </cell>
          <cell r="N2672">
            <v>485</v>
          </cell>
          <cell r="O2672">
            <v>100</v>
          </cell>
          <cell r="AP2672">
            <v>1439</v>
          </cell>
        </row>
        <row r="2673">
          <cell r="C2673">
            <v>44417</v>
          </cell>
          <cell r="N2673">
            <v>485</v>
          </cell>
          <cell r="O2673">
            <v>100</v>
          </cell>
          <cell r="AP2673">
            <v>1959</v>
          </cell>
        </row>
        <row r="2674">
          <cell r="C2674">
            <v>44417</v>
          </cell>
          <cell r="N2674">
            <v>485</v>
          </cell>
          <cell r="O2674">
            <v>100</v>
          </cell>
          <cell r="AP2674">
            <v>1106</v>
          </cell>
        </row>
        <row r="2675">
          <cell r="C2675">
            <v>44417</v>
          </cell>
          <cell r="N2675">
            <v>485</v>
          </cell>
          <cell r="O2675">
            <v>100</v>
          </cell>
          <cell r="AP2675">
            <v>1444</v>
          </cell>
        </row>
        <row r="2676">
          <cell r="C2676">
            <v>44417</v>
          </cell>
          <cell r="N2676">
            <v>485</v>
          </cell>
          <cell r="O2676">
            <v>100</v>
          </cell>
          <cell r="AP2676">
            <v>1970</v>
          </cell>
        </row>
        <row r="2677">
          <cell r="C2677">
            <v>44417</v>
          </cell>
          <cell r="N2677">
            <v>485</v>
          </cell>
          <cell r="O2677">
            <v>100</v>
          </cell>
          <cell r="AP2677">
            <v>1112</v>
          </cell>
        </row>
        <row r="2678">
          <cell r="C2678">
            <v>44417</v>
          </cell>
          <cell r="N2678">
            <v>485</v>
          </cell>
          <cell r="O2678">
            <v>100</v>
          </cell>
          <cell r="AP2678">
            <v>1354</v>
          </cell>
        </row>
        <row r="2679">
          <cell r="C2679">
            <v>44417</v>
          </cell>
          <cell r="N2679">
            <v>485</v>
          </cell>
          <cell r="O2679">
            <v>100</v>
          </cell>
          <cell r="AP2679">
            <v>1848</v>
          </cell>
        </row>
        <row r="2680">
          <cell r="C2680">
            <v>44417</v>
          </cell>
          <cell r="N2680">
            <v>485</v>
          </cell>
          <cell r="O2680">
            <v>100</v>
          </cell>
          <cell r="AP2680">
            <v>1044</v>
          </cell>
        </row>
        <row r="2681">
          <cell r="C2681">
            <v>44417</v>
          </cell>
          <cell r="N2681">
            <v>485</v>
          </cell>
          <cell r="O2681">
            <v>100</v>
          </cell>
          <cell r="AP2681">
            <v>1360</v>
          </cell>
        </row>
        <row r="2682">
          <cell r="C2682">
            <v>44417</v>
          </cell>
          <cell r="N2682">
            <v>485</v>
          </cell>
          <cell r="O2682">
            <v>100</v>
          </cell>
          <cell r="AP2682">
            <v>1852</v>
          </cell>
        </row>
        <row r="2683">
          <cell r="C2683">
            <v>44417</v>
          </cell>
          <cell r="N2683">
            <v>485</v>
          </cell>
          <cell r="O2683">
            <v>100</v>
          </cell>
          <cell r="AP2683">
            <v>1048</v>
          </cell>
        </row>
        <row r="2684">
          <cell r="C2684">
            <v>44417</v>
          </cell>
          <cell r="N2684">
            <v>485</v>
          </cell>
          <cell r="O2684">
            <v>100</v>
          </cell>
          <cell r="AP2684">
            <v>1471</v>
          </cell>
        </row>
        <row r="2685">
          <cell r="C2685">
            <v>44417</v>
          </cell>
          <cell r="N2685">
            <v>485</v>
          </cell>
          <cell r="O2685">
            <v>100</v>
          </cell>
          <cell r="AP2685">
            <v>1890</v>
          </cell>
        </row>
        <row r="2686">
          <cell r="C2686">
            <v>44417</v>
          </cell>
          <cell r="N2686">
            <v>485</v>
          </cell>
          <cell r="O2686">
            <v>100</v>
          </cell>
          <cell r="AP2686">
            <v>1095</v>
          </cell>
        </row>
        <row r="2687">
          <cell r="C2687">
            <v>44417</v>
          </cell>
          <cell r="N2687">
            <v>485</v>
          </cell>
          <cell r="O2687">
            <v>100</v>
          </cell>
          <cell r="AP2687">
            <v>1487</v>
          </cell>
        </row>
        <row r="2688">
          <cell r="C2688">
            <v>44417</v>
          </cell>
          <cell r="N2688">
            <v>485</v>
          </cell>
          <cell r="O2688">
            <v>100</v>
          </cell>
          <cell r="AP2688">
            <v>1915</v>
          </cell>
        </row>
        <row r="2689">
          <cell r="C2689">
            <v>44417</v>
          </cell>
          <cell r="N2689">
            <v>485</v>
          </cell>
          <cell r="O2689">
            <v>100</v>
          </cell>
          <cell r="AP2689">
            <v>1108</v>
          </cell>
        </row>
        <row r="2690">
          <cell r="C2690">
            <v>44417</v>
          </cell>
          <cell r="N2690">
            <v>485</v>
          </cell>
          <cell r="O2690">
            <v>100</v>
          </cell>
          <cell r="AP2690">
            <v>1517</v>
          </cell>
        </row>
        <row r="2691">
          <cell r="C2691">
            <v>44417</v>
          </cell>
          <cell r="N2691">
            <v>485</v>
          </cell>
          <cell r="O2691">
            <v>100</v>
          </cell>
          <cell r="AP2691">
            <v>1953</v>
          </cell>
        </row>
        <row r="2692">
          <cell r="C2692">
            <v>44417</v>
          </cell>
          <cell r="N2692">
            <v>485</v>
          </cell>
          <cell r="O2692">
            <v>100</v>
          </cell>
          <cell r="AP2692">
            <v>1131</v>
          </cell>
        </row>
        <row r="2693">
          <cell r="C2693">
            <v>44417</v>
          </cell>
          <cell r="N2693">
            <v>485</v>
          </cell>
          <cell r="O2693">
            <v>100</v>
          </cell>
          <cell r="AP2693">
            <v>1433</v>
          </cell>
        </row>
        <row r="2694">
          <cell r="C2694">
            <v>44417</v>
          </cell>
          <cell r="N2694">
            <v>485</v>
          </cell>
          <cell r="O2694">
            <v>100</v>
          </cell>
          <cell r="AP2694">
            <v>1844</v>
          </cell>
        </row>
        <row r="2695">
          <cell r="C2695">
            <v>44417</v>
          </cell>
          <cell r="N2695">
            <v>485</v>
          </cell>
          <cell r="O2695">
            <v>100</v>
          </cell>
          <cell r="AP2695">
            <v>1066</v>
          </cell>
        </row>
        <row r="2696">
          <cell r="C2696">
            <v>44417</v>
          </cell>
          <cell r="N2696">
            <v>485</v>
          </cell>
          <cell r="O2696">
            <v>100</v>
          </cell>
          <cell r="AP2696">
            <v>1440</v>
          </cell>
        </row>
        <row r="2697">
          <cell r="C2697">
            <v>44417</v>
          </cell>
          <cell r="N2697">
            <v>485</v>
          </cell>
          <cell r="O2697">
            <v>100</v>
          </cell>
          <cell r="AP2697">
            <v>1855</v>
          </cell>
        </row>
        <row r="2698">
          <cell r="C2698">
            <v>44417</v>
          </cell>
          <cell r="N2698">
            <v>485</v>
          </cell>
          <cell r="O2698">
            <v>100</v>
          </cell>
          <cell r="AP2698">
            <v>1073</v>
          </cell>
        </row>
        <row r="2699">
          <cell r="C2699">
            <v>44417</v>
          </cell>
          <cell r="N2699">
            <v>485</v>
          </cell>
          <cell r="O2699">
            <v>100</v>
          </cell>
          <cell r="AP2699">
            <v>1471</v>
          </cell>
        </row>
        <row r="2700">
          <cell r="C2700">
            <v>44417</v>
          </cell>
          <cell r="N2700">
            <v>485</v>
          </cell>
          <cell r="O2700">
            <v>100</v>
          </cell>
          <cell r="AP2700">
            <v>1893</v>
          </cell>
        </row>
        <row r="2701">
          <cell r="C2701">
            <v>44417</v>
          </cell>
          <cell r="N2701">
            <v>485</v>
          </cell>
          <cell r="O2701">
            <v>100</v>
          </cell>
          <cell r="AP2701">
            <v>1097</v>
          </cell>
        </row>
        <row r="2702">
          <cell r="C2702">
            <v>44417</v>
          </cell>
          <cell r="N2702">
            <v>485</v>
          </cell>
          <cell r="O2702">
            <v>100</v>
          </cell>
          <cell r="AP2702">
            <v>1431</v>
          </cell>
        </row>
        <row r="2703">
          <cell r="C2703">
            <v>44417</v>
          </cell>
          <cell r="N2703">
            <v>485</v>
          </cell>
          <cell r="O2703">
            <v>100</v>
          </cell>
          <cell r="AP2703">
            <v>1907</v>
          </cell>
        </row>
        <row r="2704">
          <cell r="C2704">
            <v>44417</v>
          </cell>
          <cell r="N2704">
            <v>485</v>
          </cell>
          <cell r="O2704">
            <v>100</v>
          </cell>
          <cell r="AP2704">
            <v>1148</v>
          </cell>
        </row>
        <row r="2705">
          <cell r="C2705">
            <v>44417</v>
          </cell>
          <cell r="N2705">
            <v>485</v>
          </cell>
          <cell r="O2705">
            <v>100</v>
          </cell>
          <cell r="AP2705">
            <v>1455</v>
          </cell>
        </row>
        <row r="2706">
          <cell r="C2706">
            <v>44417</v>
          </cell>
          <cell r="N2706">
            <v>485</v>
          </cell>
          <cell r="O2706">
            <v>100</v>
          </cell>
          <cell r="AP2706">
            <v>1937</v>
          </cell>
        </row>
        <row r="2707">
          <cell r="C2707">
            <v>44417</v>
          </cell>
          <cell r="N2707">
            <v>485</v>
          </cell>
          <cell r="O2707">
            <v>100</v>
          </cell>
          <cell r="AP2707">
            <v>1166</v>
          </cell>
        </row>
        <row r="2708">
          <cell r="C2708">
            <v>44418</v>
          </cell>
          <cell r="N2708">
            <v>485</v>
          </cell>
          <cell r="O2708">
            <v>100</v>
          </cell>
          <cell r="AP2708">
            <v>1426</v>
          </cell>
        </row>
        <row r="2709">
          <cell r="C2709">
            <v>44418</v>
          </cell>
          <cell r="N2709">
            <v>485</v>
          </cell>
          <cell r="O2709">
            <v>100</v>
          </cell>
          <cell r="AP2709">
            <v>1893</v>
          </cell>
        </row>
        <row r="2710">
          <cell r="C2710">
            <v>44418</v>
          </cell>
          <cell r="N2710">
            <v>485</v>
          </cell>
          <cell r="O2710">
            <v>100</v>
          </cell>
          <cell r="AP2710">
            <v>1141</v>
          </cell>
        </row>
        <row r="2711">
          <cell r="C2711">
            <v>44418</v>
          </cell>
          <cell r="N2711">
            <v>485</v>
          </cell>
          <cell r="O2711">
            <v>100</v>
          </cell>
          <cell r="AP2711">
            <v>1467</v>
          </cell>
        </row>
        <row r="2712">
          <cell r="C2712">
            <v>44418</v>
          </cell>
          <cell r="N2712">
            <v>485</v>
          </cell>
          <cell r="O2712">
            <v>100</v>
          </cell>
          <cell r="AP2712">
            <v>1837</v>
          </cell>
        </row>
        <row r="2713">
          <cell r="C2713">
            <v>44418</v>
          </cell>
          <cell r="N2713">
            <v>485</v>
          </cell>
          <cell r="O2713">
            <v>100</v>
          </cell>
          <cell r="AP2713">
            <v>1138</v>
          </cell>
        </row>
        <row r="2714">
          <cell r="C2714">
            <v>44417</v>
          </cell>
          <cell r="N2714">
            <v>485</v>
          </cell>
          <cell r="O2714">
            <v>100</v>
          </cell>
          <cell r="AP2714">
            <v>1402</v>
          </cell>
        </row>
        <row r="2715">
          <cell r="C2715">
            <v>44417</v>
          </cell>
          <cell r="N2715">
            <v>485</v>
          </cell>
          <cell r="O2715">
            <v>100</v>
          </cell>
          <cell r="AP2715">
            <v>1757</v>
          </cell>
        </row>
        <row r="2716">
          <cell r="C2716">
            <v>44417</v>
          </cell>
          <cell r="N2716">
            <v>485</v>
          </cell>
          <cell r="O2716">
            <v>100</v>
          </cell>
          <cell r="AP2716">
            <v>1086</v>
          </cell>
        </row>
        <row r="2717">
          <cell r="C2717">
            <v>44417</v>
          </cell>
          <cell r="N2717">
            <v>485</v>
          </cell>
          <cell r="O2717">
            <v>100</v>
          </cell>
          <cell r="AP2717">
            <v>1389</v>
          </cell>
        </row>
        <row r="2718">
          <cell r="C2718">
            <v>44417</v>
          </cell>
          <cell r="N2718">
            <v>485</v>
          </cell>
          <cell r="O2718">
            <v>100</v>
          </cell>
          <cell r="AP2718">
            <v>1742</v>
          </cell>
        </row>
        <row r="2719">
          <cell r="C2719">
            <v>44417</v>
          </cell>
          <cell r="N2719">
            <v>485</v>
          </cell>
          <cell r="O2719">
            <v>100</v>
          </cell>
          <cell r="AP2719">
            <v>1078</v>
          </cell>
        </row>
        <row r="2720">
          <cell r="C2720">
            <v>44417</v>
          </cell>
          <cell r="N2720">
            <v>485</v>
          </cell>
          <cell r="O2720">
            <v>100</v>
          </cell>
          <cell r="AP2720">
            <v>1397</v>
          </cell>
        </row>
        <row r="2721">
          <cell r="C2721">
            <v>44417</v>
          </cell>
          <cell r="N2721">
            <v>485</v>
          </cell>
          <cell r="O2721">
            <v>100</v>
          </cell>
          <cell r="AP2721">
            <v>1752</v>
          </cell>
        </row>
        <row r="2722">
          <cell r="C2722">
            <v>44417</v>
          </cell>
          <cell r="N2722">
            <v>485</v>
          </cell>
          <cell r="O2722">
            <v>100</v>
          </cell>
          <cell r="AP2722">
            <v>1082</v>
          </cell>
        </row>
        <row r="2723">
          <cell r="C2723">
            <v>44417</v>
          </cell>
          <cell r="N2723">
            <v>485</v>
          </cell>
          <cell r="O2723">
            <v>100</v>
          </cell>
          <cell r="AP2723">
            <v>1357</v>
          </cell>
        </row>
        <row r="2724">
          <cell r="C2724">
            <v>44417</v>
          </cell>
          <cell r="N2724">
            <v>485</v>
          </cell>
          <cell r="O2724">
            <v>100</v>
          </cell>
          <cell r="AP2724">
            <v>1613</v>
          </cell>
        </row>
        <row r="2725">
          <cell r="C2725">
            <v>44417</v>
          </cell>
          <cell r="N2725">
            <v>485</v>
          </cell>
          <cell r="O2725">
            <v>100</v>
          </cell>
          <cell r="AP2725">
            <v>1020</v>
          </cell>
        </row>
        <row r="2726">
          <cell r="C2726">
            <v>44417</v>
          </cell>
          <cell r="N2726">
            <v>485</v>
          </cell>
          <cell r="O2726">
            <v>100</v>
          </cell>
          <cell r="AP2726">
            <v>1444</v>
          </cell>
        </row>
        <row r="2727">
          <cell r="C2727">
            <v>44417</v>
          </cell>
          <cell r="N2727">
            <v>485</v>
          </cell>
          <cell r="O2727">
            <v>100</v>
          </cell>
          <cell r="AP2727">
            <v>1713</v>
          </cell>
        </row>
        <row r="2728">
          <cell r="C2728">
            <v>44417</v>
          </cell>
          <cell r="N2728">
            <v>485</v>
          </cell>
          <cell r="O2728">
            <v>100</v>
          </cell>
          <cell r="AP2728">
            <v>1085</v>
          </cell>
        </row>
        <row r="2729">
          <cell r="C2729">
            <v>44417</v>
          </cell>
          <cell r="N2729">
            <v>485</v>
          </cell>
          <cell r="O2729">
            <v>100</v>
          </cell>
          <cell r="AP2729">
            <v>1454</v>
          </cell>
        </row>
        <row r="2730">
          <cell r="C2730">
            <v>44417</v>
          </cell>
          <cell r="N2730">
            <v>485</v>
          </cell>
          <cell r="O2730">
            <v>100</v>
          </cell>
          <cell r="AP2730">
            <v>1726</v>
          </cell>
        </row>
        <row r="2731">
          <cell r="C2731">
            <v>44417</v>
          </cell>
          <cell r="N2731">
            <v>485</v>
          </cell>
          <cell r="O2731">
            <v>100</v>
          </cell>
          <cell r="AP2731">
            <v>1092</v>
          </cell>
        </row>
        <row r="2732">
          <cell r="C2732">
            <v>44417</v>
          </cell>
          <cell r="N2732">
            <v>485</v>
          </cell>
          <cell r="O2732">
            <v>100</v>
          </cell>
          <cell r="AP2732">
            <v>1470</v>
          </cell>
        </row>
        <row r="2733">
          <cell r="C2733">
            <v>44417</v>
          </cell>
          <cell r="N2733">
            <v>485</v>
          </cell>
          <cell r="O2733">
            <v>100</v>
          </cell>
          <cell r="AP2733">
            <v>1744</v>
          </cell>
        </row>
        <row r="2734">
          <cell r="C2734">
            <v>44417</v>
          </cell>
          <cell r="N2734">
            <v>485</v>
          </cell>
          <cell r="O2734">
            <v>100</v>
          </cell>
          <cell r="AP2734">
            <v>1105</v>
          </cell>
        </row>
        <row r="2735">
          <cell r="C2735">
            <v>44417</v>
          </cell>
          <cell r="N2735">
            <v>485</v>
          </cell>
          <cell r="O2735">
            <v>100</v>
          </cell>
          <cell r="AP2735">
            <v>1471</v>
          </cell>
        </row>
        <row r="2736">
          <cell r="C2736">
            <v>44417</v>
          </cell>
          <cell r="N2736">
            <v>485</v>
          </cell>
          <cell r="O2736">
            <v>100</v>
          </cell>
          <cell r="AP2736">
            <v>1744</v>
          </cell>
        </row>
        <row r="2737">
          <cell r="C2737">
            <v>44417</v>
          </cell>
          <cell r="N2737">
            <v>485</v>
          </cell>
          <cell r="O2737">
            <v>100</v>
          </cell>
          <cell r="AP2737">
            <v>1106</v>
          </cell>
        </row>
        <row r="2738">
          <cell r="C2738">
            <v>44417</v>
          </cell>
          <cell r="N2738">
            <v>485</v>
          </cell>
          <cell r="O2738">
            <v>100</v>
          </cell>
          <cell r="AP2738">
            <v>1518</v>
          </cell>
        </row>
        <row r="2739">
          <cell r="C2739">
            <v>44417</v>
          </cell>
          <cell r="N2739">
            <v>485</v>
          </cell>
          <cell r="O2739">
            <v>100</v>
          </cell>
          <cell r="AP2739">
            <v>1794</v>
          </cell>
        </row>
        <row r="2740">
          <cell r="C2740">
            <v>44417</v>
          </cell>
          <cell r="N2740">
            <v>485</v>
          </cell>
          <cell r="O2740">
            <v>100</v>
          </cell>
          <cell r="AP2740">
            <v>1139</v>
          </cell>
        </row>
        <row r="2741">
          <cell r="C2741">
            <v>44417</v>
          </cell>
          <cell r="N2741">
            <v>485</v>
          </cell>
          <cell r="O2741">
            <v>100</v>
          </cell>
          <cell r="AP2741">
            <v>1525</v>
          </cell>
        </row>
        <row r="2742">
          <cell r="C2742">
            <v>44417</v>
          </cell>
          <cell r="N2742">
            <v>485</v>
          </cell>
          <cell r="O2742">
            <v>100</v>
          </cell>
          <cell r="AP2742">
            <v>1807</v>
          </cell>
        </row>
        <row r="2743">
          <cell r="C2743">
            <v>44417</v>
          </cell>
          <cell r="N2743">
            <v>485</v>
          </cell>
          <cell r="O2743">
            <v>100</v>
          </cell>
          <cell r="AP2743">
            <v>1143</v>
          </cell>
        </row>
        <row r="2744">
          <cell r="C2744">
            <v>44418</v>
          </cell>
          <cell r="N2744">
            <v>485</v>
          </cell>
          <cell r="O2744">
            <v>100</v>
          </cell>
          <cell r="AP2744">
            <v>1484</v>
          </cell>
        </row>
        <row r="2745">
          <cell r="C2745">
            <v>44418</v>
          </cell>
          <cell r="N2745">
            <v>485</v>
          </cell>
          <cell r="O2745">
            <v>100</v>
          </cell>
          <cell r="AP2745">
            <v>1722</v>
          </cell>
        </row>
        <row r="2746">
          <cell r="C2746">
            <v>44418</v>
          </cell>
          <cell r="N2746">
            <v>485</v>
          </cell>
          <cell r="O2746">
            <v>100</v>
          </cell>
          <cell r="AP2746">
            <v>1160</v>
          </cell>
        </row>
        <row r="2747">
          <cell r="C2747">
            <v>44418</v>
          </cell>
          <cell r="N2747">
            <v>485</v>
          </cell>
          <cell r="O2747">
            <v>100</v>
          </cell>
          <cell r="AP2747">
            <v>1496</v>
          </cell>
        </row>
        <row r="2748">
          <cell r="C2748">
            <v>44418</v>
          </cell>
          <cell r="N2748">
            <v>485</v>
          </cell>
          <cell r="O2748">
            <v>100</v>
          </cell>
          <cell r="AP2748">
            <v>1735</v>
          </cell>
        </row>
        <row r="2749">
          <cell r="C2749">
            <v>44418</v>
          </cell>
          <cell r="N2749">
            <v>485</v>
          </cell>
          <cell r="O2749">
            <v>100</v>
          </cell>
          <cell r="AP2749">
            <v>1169</v>
          </cell>
        </row>
        <row r="2750">
          <cell r="C2750">
            <v>44418</v>
          </cell>
          <cell r="N2750">
            <v>485</v>
          </cell>
          <cell r="O2750">
            <v>100</v>
          </cell>
          <cell r="AP2750">
            <v>1454</v>
          </cell>
        </row>
        <row r="2751">
          <cell r="C2751">
            <v>44418</v>
          </cell>
          <cell r="N2751">
            <v>485</v>
          </cell>
          <cell r="O2751">
            <v>100</v>
          </cell>
          <cell r="AP2751">
            <v>1684</v>
          </cell>
        </row>
        <row r="2752">
          <cell r="C2752">
            <v>44418</v>
          </cell>
          <cell r="N2752">
            <v>485</v>
          </cell>
          <cell r="O2752">
            <v>100</v>
          </cell>
          <cell r="AP2752">
            <v>1136</v>
          </cell>
        </row>
        <row r="2753">
          <cell r="C2753">
            <v>44418</v>
          </cell>
          <cell r="N2753">
            <v>485</v>
          </cell>
          <cell r="O2753">
            <v>100</v>
          </cell>
          <cell r="AP2753">
            <v>1475</v>
          </cell>
        </row>
        <row r="2754">
          <cell r="C2754">
            <v>44418</v>
          </cell>
          <cell r="N2754">
            <v>485</v>
          </cell>
          <cell r="O2754">
            <v>100</v>
          </cell>
          <cell r="AP2754">
            <v>1709</v>
          </cell>
        </row>
        <row r="2755">
          <cell r="C2755">
            <v>44418</v>
          </cell>
          <cell r="N2755">
            <v>485</v>
          </cell>
          <cell r="O2755">
            <v>100</v>
          </cell>
          <cell r="AP2755">
            <v>1153</v>
          </cell>
        </row>
        <row r="2756">
          <cell r="C2756">
            <v>44418</v>
          </cell>
          <cell r="N2756">
            <v>485</v>
          </cell>
          <cell r="O2756">
            <v>100</v>
          </cell>
          <cell r="AP2756">
            <v>1470</v>
          </cell>
        </row>
        <row r="2757">
          <cell r="C2757">
            <v>44418</v>
          </cell>
          <cell r="N2757">
            <v>485</v>
          </cell>
          <cell r="O2757">
            <v>100</v>
          </cell>
          <cell r="AP2757">
            <v>1691</v>
          </cell>
        </row>
        <row r="2758">
          <cell r="C2758">
            <v>44418</v>
          </cell>
          <cell r="N2758">
            <v>485</v>
          </cell>
          <cell r="O2758">
            <v>100</v>
          </cell>
          <cell r="AP2758">
            <v>1144</v>
          </cell>
        </row>
        <row r="2759">
          <cell r="C2759">
            <v>44418</v>
          </cell>
          <cell r="N2759">
            <v>485</v>
          </cell>
          <cell r="O2759">
            <v>100</v>
          </cell>
          <cell r="AP2759">
            <v>1536</v>
          </cell>
        </row>
        <row r="2760">
          <cell r="C2760">
            <v>44418</v>
          </cell>
          <cell r="N2760">
            <v>485</v>
          </cell>
          <cell r="O2760">
            <v>100</v>
          </cell>
          <cell r="AP2760">
            <v>1182</v>
          </cell>
        </row>
        <row r="2761">
          <cell r="C2761">
            <v>44418</v>
          </cell>
          <cell r="N2761">
            <v>485</v>
          </cell>
          <cell r="O2761">
            <v>100</v>
          </cell>
          <cell r="AP2761">
            <v>1663</v>
          </cell>
        </row>
        <row r="2762">
          <cell r="C2762">
            <v>44418</v>
          </cell>
          <cell r="N2762">
            <v>485</v>
          </cell>
          <cell r="O2762">
            <v>100</v>
          </cell>
          <cell r="AP2762">
            <v>1553</v>
          </cell>
        </row>
        <row r="2763">
          <cell r="C2763">
            <v>44418</v>
          </cell>
          <cell r="N2763">
            <v>485</v>
          </cell>
          <cell r="O2763">
            <v>100</v>
          </cell>
          <cell r="AP2763">
            <v>1193</v>
          </cell>
        </row>
        <row r="2764">
          <cell r="C2764">
            <v>44418</v>
          </cell>
          <cell r="N2764">
            <v>485</v>
          </cell>
          <cell r="O2764">
            <v>100</v>
          </cell>
          <cell r="AP2764">
            <v>1679</v>
          </cell>
        </row>
        <row r="2765">
          <cell r="C2765">
            <v>44418</v>
          </cell>
          <cell r="N2765">
            <v>485</v>
          </cell>
          <cell r="O2765">
            <v>100</v>
          </cell>
          <cell r="AP2765">
            <v>1566</v>
          </cell>
        </row>
        <row r="2766">
          <cell r="C2766">
            <v>44418</v>
          </cell>
          <cell r="N2766">
            <v>485</v>
          </cell>
          <cell r="O2766">
            <v>100</v>
          </cell>
          <cell r="AP2766">
            <v>1204</v>
          </cell>
        </row>
        <row r="2767">
          <cell r="C2767">
            <v>44418</v>
          </cell>
          <cell r="N2767">
            <v>485</v>
          </cell>
          <cell r="O2767">
            <v>100</v>
          </cell>
          <cell r="AP2767">
            <v>1690</v>
          </cell>
        </row>
        <row r="2768">
          <cell r="C2768">
            <v>44418</v>
          </cell>
          <cell r="N2768">
            <v>485</v>
          </cell>
          <cell r="O2768">
            <v>100</v>
          </cell>
          <cell r="AP2768">
            <v>1512</v>
          </cell>
        </row>
        <row r="2769">
          <cell r="C2769">
            <v>44418</v>
          </cell>
          <cell r="N2769">
            <v>485</v>
          </cell>
          <cell r="O2769">
            <v>100</v>
          </cell>
          <cell r="AP2769">
            <v>1167</v>
          </cell>
        </row>
        <row r="2770">
          <cell r="C2770">
            <v>44418</v>
          </cell>
          <cell r="N2770">
            <v>485</v>
          </cell>
          <cell r="O2770">
            <v>100</v>
          </cell>
          <cell r="AP2770">
            <v>1620</v>
          </cell>
        </row>
        <row r="2771">
          <cell r="C2771">
            <v>44418</v>
          </cell>
          <cell r="N2771">
            <v>485</v>
          </cell>
          <cell r="O2771">
            <v>100</v>
          </cell>
          <cell r="AP2771">
            <v>1511</v>
          </cell>
        </row>
        <row r="2772">
          <cell r="C2772">
            <v>44418</v>
          </cell>
          <cell r="N2772">
            <v>485</v>
          </cell>
          <cell r="O2772">
            <v>100</v>
          </cell>
          <cell r="AP2772">
            <v>1164</v>
          </cell>
        </row>
        <row r="2773">
          <cell r="C2773">
            <v>44418</v>
          </cell>
          <cell r="N2773">
            <v>485</v>
          </cell>
          <cell r="O2773">
            <v>100</v>
          </cell>
          <cell r="AP2773">
            <v>1634</v>
          </cell>
        </row>
        <row r="2774">
          <cell r="C2774">
            <v>44418</v>
          </cell>
          <cell r="N2774">
            <v>485</v>
          </cell>
          <cell r="O2774">
            <v>100</v>
          </cell>
          <cell r="AP2774">
            <v>1504</v>
          </cell>
        </row>
        <row r="2775">
          <cell r="C2775">
            <v>44418</v>
          </cell>
          <cell r="N2775">
            <v>485</v>
          </cell>
          <cell r="O2775">
            <v>100</v>
          </cell>
          <cell r="AP2775">
            <v>1160</v>
          </cell>
        </row>
        <row r="2776">
          <cell r="C2776">
            <v>44418</v>
          </cell>
          <cell r="N2776">
            <v>485</v>
          </cell>
          <cell r="O2776">
            <v>100</v>
          </cell>
          <cell r="AP2776">
            <v>1628</v>
          </cell>
        </row>
        <row r="2777">
          <cell r="C2777">
            <v>44418</v>
          </cell>
          <cell r="N2777">
            <v>485</v>
          </cell>
          <cell r="O2777">
            <v>100</v>
          </cell>
          <cell r="AP2777">
            <v>1836</v>
          </cell>
        </row>
        <row r="2778">
          <cell r="C2778">
            <v>44418</v>
          </cell>
          <cell r="N2778">
            <v>485</v>
          </cell>
          <cell r="O2778">
            <v>100</v>
          </cell>
          <cell r="AP2778">
            <v>1138</v>
          </cell>
        </row>
        <row r="2779">
          <cell r="C2779">
            <v>44418</v>
          </cell>
          <cell r="N2779">
            <v>485</v>
          </cell>
          <cell r="O2779">
            <v>100</v>
          </cell>
          <cell r="AP2779">
            <v>1146</v>
          </cell>
        </row>
        <row r="2780">
          <cell r="C2780">
            <v>44418</v>
          </cell>
          <cell r="N2780">
            <v>485</v>
          </cell>
          <cell r="O2780">
            <v>100</v>
          </cell>
          <cell r="AP2780">
            <v>1806</v>
          </cell>
        </row>
        <row r="2781">
          <cell r="C2781">
            <v>44418</v>
          </cell>
          <cell r="N2781">
            <v>485</v>
          </cell>
          <cell r="O2781">
            <v>100</v>
          </cell>
          <cell r="AP2781">
            <v>1120</v>
          </cell>
        </row>
        <row r="2782">
          <cell r="C2782">
            <v>44418</v>
          </cell>
          <cell r="N2782">
            <v>485</v>
          </cell>
          <cell r="O2782">
            <v>100</v>
          </cell>
          <cell r="AP2782">
            <v>1129</v>
          </cell>
        </row>
        <row r="2783">
          <cell r="C2783">
            <v>44418</v>
          </cell>
          <cell r="N2783">
            <v>480</v>
          </cell>
          <cell r="O2783">
            <v>100</v>
          </cell>
          <cell r="AP2783">
            <v>1080</v>
          </cell>
        </row>
        <row r="2784">
          <cell r="C2784">
            <v>44418</v>
          </cell>
          <cell r="N2784">
            <v>480</v>
          </cell>
          <cell r="O2784">
            <v>100</v>
          </cell>
          <cell r="AP2784">
            <v>1690</v>
          </cell>
        </row>
        <row r="2785">
          <cell r="C2785">
            <v>44418</v>
          </cell>
          <cell r="N2785">
            <v>480</v>
          </cell>
          <cell r="O2785">
            <v>100</v>
          </cell>
          <cell r="AP2785">
            <v>1071</v>
          </cell>
        </row>
        <row r="2786">
          <cell r="C2786">
            <v>44417</v>
          </cell>
          <cell r="N2786">
            <v>450</v>
          </cell>
          <cell r="O2786">
            <v>100</v>
          </cell>
          <cell r="AP2786">
            <v>2127</v>
          </cell>
        </row>
        <row r="2787">
          <cell r="C2787">
            <v>44417</v>
          </cell>
          <cell r="N2787">
            <v>450</v>
          </cell>
          <cell r="O2787">
            <v>100</v>
          </cell>
          <cell r="AP2787">
            <v>1851</v>
          </cell>
        </row>
        <row r="2788">
          <cell r="C2788">
            <v>44417</v>
          </cell>
          <cell r="N2788">
            <v>450</v>
          </cell>
          <cell r="O2788">
            <v>100</v>
          </cell>
          <cell r="AP2788">
            <v>2160</v>
          </cell>
        </row>
        <row r="2789">
          <cell r="C2789">
            <v>44417</v>
          </cell>
          <cell r="N2789">
            <v>450</v>
          </cell>
          <cell r="O2789">
            <v>100</v>
          </cell>
          <cell r="AP2789">
            <v>1881</v>
          </cell>
        </row>
        <row r="2790">
          <cell r="C2790">
            <v>44417</v>
          </cell>
          <cell r="N2790">
            <v>480</v>
          </cell>
          <cell r="O2790">
            <v>100</v>
          </cell>
          <cell r="AP2790">
            <v>1232</v>
          </cell>
        </row>
        <row r="2791">
          <cell r="C2791">
            <v>44417</v>
          </cell>
          <cell r="N2791">
            <v>480</v>
          </cell>
          <cell r="O2791">
            <v>100</v>
          </cell>
          <cell r="AP2791">
            <v>1925</v>
          </cell>
        </row>
        <row r="2792">
          <cell r="C2792">
            <v>44417</v>
          </cell>
          <cell r="N2792">
            <v>480</v>
          </cell>
          <cell r="O2792">
            <v>100</v>
          </cell>
          <cell r="AP2792">
            <v>1222</v>
          </cell>
        </row>
        <row r="2793">
          <cell r="C2793">
            <v>44418</v>
          </cell>
          <cell r="N2793">
            <v>480</v>
          </cell>
          <cell r="O2793">
            <v>100</v>
          </cell>
          <cell r="AP2793">
            <v>1286</v>
          </cell>
        </row>
        <row r="2794">
          <cell r="C2794">
            <v>44418</v>
          </cell>
          <cell r="N2794">
            <v>480</v>
          </cell>
          <cell r="O2794">
            <v>100</v>
          </cell>
          <cell r="AP2794">
            <v>1850</v>
          </cell>
        </row>
        <row r="2795">
          <cell r="C2795">
            <v>44418</v>
          </cell>
          <cell r="N2795">
            <v>480</v>
          </cell>
          <cell r="O2795">
            <v>100</v>
          </cell>
          <cell r="AP2795">
            <v>1283</v>
          </cell>
        </row>
        <row r="2796">
          <cell r="C2796">
            <v>44418</v>
          </cell>
          <cell r="N2796">
            <v>480</v>
          </cell>
          <cell r="O2796">
            <v>100</v>
          </cell>
          <cell r="AP2796">
            <v>1272</v>
          </cell>
        </row>
        <row r="2797">
          <cell r="C2797">
            <v>44418</v>
          </cell>
          <cell r="N2797">
            <v>480</v>
          </cell>
          <cell r="O2797">
            <v>100</v>
          </cell>
          <cell r="AP2797">
            <v>1826</v>
          </cell>
        </row>
        <row r="2798">
          <cell r="C2798">
            <v>44418</v>
          </cell>
          <cell r="N2798">
            <v>480</v>
          </cell>
          <cell r="O2798">
            <v>100</v>
          </cell>
          <cell r="AP2798">
            <v>1264</v>
          </cell>
        </row>
        <row r="2799">
          <cell r="C2799">
            <v>44418</v>
          </cell>
          <cell r="N2799">
            <v>480</v>
          </cell>
          <cell r="O2799">
            <v>100</v>
          </cell>
          <cell r="AP2799">
            <v>1697</v>
          </cell>
        </row>
        <row r="2800">
          <cell r="C2800">
            <v>44418</v>
          </cell>
          <cell r="N2800">
            <v>480</v>
          </cell>
          <cell r="O2800">
            <v>100</v>
          </cell>
          <cell r="AP2800">
            <v>1107</v>
          </cell>
        </row>
        <row r="2801">
          <cell r="C2801">
            <v>44418</v>
          </cell>
          <cell r="N2801">
            <v>480</v>
          </cell>
          <cell r="O2801">
            <v>100</v>
          </cell>
          <cell r="AP2801">
            <v>1635</v>
          </cell>
        </row>
        <row r="2802">
          <cell r="C2802">
            <v>44418</v>
          </cell>
          <cell r="N2802">
            <v>480</v>
          </cell>
          <cell r="O2802">
            <v>100</v>
          </cell>
          <cell r="AP2802">
            <v>1655</v>
          </cell>
        </row>
        <row r="2803">
          <cell r="C2803">
            <v>44418</v>
          </cell>
          <cell r="N2803">
            <v>480</v>
          </cell>
          <cell r="O2803">
            <v>100</v>
          </cell>
          <cell r="AP2803">
            <v>1112</v>
          </cell>
        </row>
        <row r="2804">
          <cell r="C2804">
            <v>44418</v>
          </cell>
          <cell r="N2804">
            <v>480</v>
          </cell>
          <cell r="O2804">
            <v>100</v>
          </cell>
          <cell r="AP2804">
            <v>1647</v>
          </cell>
        </row>
        <row r="2805">
          <cell r="C2805">
            <v>44418</v>
          </cell>
          <cell r="N2805">
            <v>485</v>
          </cell>
          <cell r="O2805">
            <v>100</v>
          </cell>
          <cell r="AP2805">
            <v>1575</v>
          </cell>
        </row>
        <row r="2806">
          <cell r="C2806">
            <v>44418</v>
          </cell>
          <cell r="N2806">
            <v>485</v>
          </cell>
          <cell r="O2806">
            <v>100</v>
          </cell>
          <cell r="AP2806">
            <v>1101</v>
          </cell>
        </row>
        <row r="2807">
          <cell r="C2807">
            <v>44418</v>
          </cell>
          <cell r="N2807">
            <v>485</v>
          </cell>
          <cell r="O2807">
            <v>100</v>
          </cell>
          <cell r="AP2807">
            <v>1567</v>
          </cell>
        </row>
        <row r="2808">
          <cell r="C2808">
            <v>44418</v>
          </cell>
          <cell r="N2808">
            <v>485</v>
          </cell>
          <cell r="O2808">
            <v>100</v>
          </cell>
          <cell r="AP2808">
            <v>1573</v>
          </cell>
        </row>
        <row r="2809">
          <cell r="C2809">
            <v>44418</v>
          </cell>
          <cell r="N2809">
            <v>485</v>
          </cell>
          <cell r="O2809">
            <v>100</v>
          </cell>
          <cell r="AP2809">
            <v>1101</v>
          </cell>
        </row>
        <row r="2810">
          <cell r="C2810">
            <v>44418</v>
          </cell>
          <cell r="N2810">
            <v>485</v>
          </cell>
          <cell r="O2810">
            <v>100</v>
          </cell>
          <cell r="AP2810">
            <v>1566</v>
          </cell>
        </row>
        <row r="2811">
          <cell r="C2811">
            <v>44418</v>
          </cell>
          <cell r="N2811">
            <v>485</v>
          </cell>
          <cell r="O2811">
            <v>100</v>
          </cell>
          <cell r="AP2811">
            <v>1231</v>
          </cell>
        </row>
        <row r="2812">
          <cell r="C2812">
            <v>44418</v>
          </cell>
          <cell r="N2812">
            <v>485</v>
          </cell>
          <cell r="O2812">
            <v>100</v>
          </cell>
          <cell r="AP2812">
            <v>1816</v>
          </cell>
        </row>
        <row r="2813">
          <cell r="C2813">
            <v>44418</v>
          </cell>
          <cell r="N2813">
            <v>485</v>
          </cell>
          <cell r="O2813">
            <v>100</v>
          </cell>
          <cell r="AP2813">
            <v>1225</v>
          </cell>
        </row>
        <row r="2814">
          <cell r="C2814">
            <v>1191</v>
          </cell>
          <cell r="N2814">
            <v>485</v>
          </cell>
          <cell r="O2814">
            <v>100</v>
          </cell>
          <cell r="AP2814">
            <v>1191</v>
          </cell>
        </row>
        <row r="2815">
          <cell r="C2815">
            <v>44418</v>
          </cell>
          <cell r="N2815">
            <v>485</v>
          </cell>
          <cell r="O2815">
            <v>100</v>
          </cell>
          <cell r="AP2815">
            <v>1757</v>
          </cell>
        </row>
        <row r="2816">
          <cell r="C2816">
            <v>44418</v>
          </cell>
          <cell r="N2816">
            <v>485</v>
          </cell>
          <cell r="O2816">
            <v>100</v>
          </cell>
          <cell r="AP2816">
            <v>1186</v>
          </cell>
        </row>
        <row r="2817">
          <cell r="C2817">
            <v>44418</v>
          </cell>
          <cell r="N2817">
            <v>475</v>
          </cell>
          <cell r="O2817">
            <v>100</v>
          </cell>
          <cell r="AP2817">
            <v>1206</v>
          </cell>
        </row>
        <row r="2818">
          <cell r="C2818">
            <v>44418</v>
          </cell>
          <cell r="N2818">
            <v>475</v>
          </cell>
          <cell r="O2818">
            <v>100</v>
          </cell>
          <cell r="AP2818">
            <v>1690</v>
          </cell>
        </row>
        <row r="2819">
          <cell r="C2819">
            <v>44418</v>
          </cell>
          <cell r="N2819">
            <v>475</v>
          </cell>
          <cell r="O2819">
            <v>100</v>
          </cell>
          <cell r="AP2819">
            <v>1199</v>
          </cell>
        </row>
        <row r="2820">
          <cell r="C2820">
            <v>44418</v>
          </cell>
          <cell r="N2820">
            <v>475</v>
          </cell>
          <cell r="O2820">
            <v>100</v>
          </cell>
          <cell r="AP2820">
            <v>1101</v>
          </cell>
        </row>
        <row r="2821">
          <cell r="C2821">
            <v>44418</v>
          </cell>
          <cell r="N2821">
            <v>475</v>
          </cell>
          <cell r="O2821">
            <v>100</v>
          </cell>
          <cell r="AP2821">
            <v>1545</v>
          </cell>
        </row>
        <row r="2822">
          <cell r="C2822">
            <v>44418</v>
          </cell>
          <cell r="N2822">
            <v>475</v>
          </cell>
          <cell r="O2822">
            <v>100</v>
          </cell>
          <cell r="AP2822">
            <v>1096</v>
          </cell>
        </row>
        <row r="2823">
          <cell r="C2823">
            <v>44418</v>
          </cell>
          <cell r="N2823">
            <v>515</v>
          </cell>
          <cell r="O2823">
            <v>100</v>
          </cell>
          <cell r="AP2823">
            <v>1585</v>
          </cell>
        </row>
        <row r="2824">
          <cell r="C2824">
            <v>44418</v>
          </cell>
          <cell r="N2824">
            <v>435</v>
          </cell>
          <cell r="O2824">
            <v>100</v>
          </cell>
          <cell r="AP2824">
            <v>1022</v>
          </cell>
        </row>
        <row r="2825">
          <cell r="C2825">
            <v>44418</v>
          </cell>
          <cell r="N2825">
            <v>475</v>
          </cell>
          <cell r="O2825">
            <v>100</v>
          </cell>
          <cell r="AP2825">
            <v>1580</v>
          </cell>
        </row>
        <row r="2826">
          <cell r="C2826">
            <v>44418</v>
          </cell>
          <cell r="N2826">
            <v>475</v>
          </cell>
          <cell r="O2826">
            <v>100</v>
          </cell>
          <cell r="AP2826">
            <v>1574</v>
          </cell>
        </row>
        <row r="2827">
          <cell r="C2827">
            <v>44418</v>
          </cell>
          <cell r="N2827">
            <v>475</v>
          </cell>
          <cell r="O2827">
            <v>100</v>
          </cell>
          <cell r="AP2827">
            <v>1015</v>
          </cell>
        </row>
        <row r="2828">
          <cell r="C2828">
            <v>44418</v>
          </cell>
          <cell r="N2828">
            <v>475</v>
          </cell>
          <cell r="O2828">
            <v>100</v>
          </cell>
          <cell r="AP2828">
            <v>1569</v>
          </cell>
        </row>
        <row r="2829">
          <cell r="C2829">
            <v>44418</v>
          </cell>
          <cell r="N2829">
            <v>480</v>
          </cell>
          <cell r="O2829">
            <v>100</v>
          </cell>
          <cell r="AP2829">
            <v>2224</v>
          </cell>
        </row>
        <row r="2830">
          <cell r="C2830">
            <v>44418</v>
          </cell>
          <cell r="N2830">
            <v>480</v>
          </cell>
          <cell r="O2830">
            <v>100</v>
          </cell>
          <cell r="AP2830">
            <v>2040</v>
          </cell>
        </row>
        <row r="2831">
          <cell r="C2831">
            <v>44418</v>
          </cell>
          <cell r="N2831">
            <v>480</v>
          </cell>
          <cell r="O2831">
            <v>100</v>
          </cell>
          <cell r="AP2831">
            <v>2312</v>
          </cell>
        </row>
        <row r="2832">
          <cell r="C2832">
            <v>44418</v>
          </cell>
          <cell r="N2832">
            <v>480</v>
          </cell>
          <cell r="O2832">
            <v>100</v>
          </cell>
          <cell r="AP2832">
            <v>2127</v>
          </cell>
        </row>
        <row r="2833">
          <cell r="C2833">
            <v>44418</v>
          </cell>
          <cell r="N2833">
            <v>480</v>
          </cell>
          <cell r="O2833">
            <v>100</v>
          </cell>
          <cell r="AP2833">
            <v>2267</v>
          </cell>
        </row>
        <row r="2834">
          <cell r="C2834">
            <v>44418</v>
          </cell>
          <cell r="N2834">
            <v>480</v>
          </cell>
          <cell r="O2834">
            <v>100</v>
          </cell>
          <cell r="AP2834">
            <v>2082</v>
          </cell>
        </row>
        <row r="2835">
          <cell r="C2835">
            <v>44416</v>
          </cell>
          <cell r="N2835">
            <v>475</v>
          </cell>
          <cell r="O2835">
            <v>100</v>
          </cell>
          <cell r="AP2835">
            <v>1264</v>
          </cell>
        </row>
        <row r="2836">
          <cell r="C2836">
            <v>44416</v>
          </cell>
          <cell r="N2836">
            <v>475</v>
          </cell>
          <cell r="O2836">
            <v>100</v>
          </cell>
          <cell r="AP2836">
            <v>1392</v>
          </cell>
        </row>
        <row r="2837">
          <cell r="C2837">
            <v>44416</v>
          </cell>
          <cell r="N2837">
            <v>475</v>
          </cell>
          <cell r="O2837">
            <v>100</v>
          </cell>
          <cell r="AP2837">
            <v>1212</v>
          </cell>
        </row>
        <row r="2838">
          <cell r="C2838">
            <v>44416</v>
          </cell>
          <cell r="N2838">
            <v>475</v>
          </cell>
          <cell r="O2838">
            <v>100</v>
          </cell>
          <cell r="AP2838">
            <v>1280</v>
          </cell>
        </row>
        <row r="2839">
          <cell r="C2839">
            <v>44416</v>
          </cell>
          <cell r="N2839">
            <v>475</v>
          </cell>
          <cell r="O2839">
            <v>100</v>
          </cell>
          <cell r="AP2839">
            <v>1410</v>
          </cell>
        </row>
        <row r="2840">
          <cell r="C2840">
            <v>44416</v>
          </cell>
          <cell r="N2840">
            <v>475</v>
          </cell>
          <cell r="O2840">
            <v>100</v>
          </cell>
          <cell r="AP2840">
            <v>1229</v>
          </cell>
        </row>
        <row r="2841">
          <cell r="C2841">
            <v>44416</v>
          </cell>
          <cell r="N2841">
            <v>475</v>
          </cell>
          <cell r="O2841">
            <v>100</v>
          </cell>
          <cell r="AP2841">
            <v>1314</v>
          </cell>
        </row>
        <row r="2842">
          <cell r="C2842">
            <v>44416</v>
          </cell>
          <cell r="N2842">
            <v>475</v>
          </cell>
          <cell r="O2842">
            <v>100</v>
          </cell>
          <cell r="AP2842">
            <v>1448</v>
          </cell>
        </row>
        <row r="2843">
          <cell r="C2843">
            <v>44416</v>
          </cell>
          <cell r="N2843">
            <v>475</v>
          </cell>
          <cell r="O2843">
            <v>100</v>
          </cell>
          <cell r="AP2843">
            <v>1261</v>
          </cell>
        </row>
        <row r="2844">
          <cell r="C2844">
            <v>44416</v>
          </cell>
          <cell r="N2844">
            <v>475</v>
          </cell>
          <cell r="O2844">
            <v>100</v>
          </cell>
          <cell r="AP2844">
            <v>1317</v>
          </cell>
        </row>
        <row r="2845">
          <cell r="C2845">
            <v>44416</v>
          </cell>
          <cell r="N2845">
            <v>475</v>
          </cell>
          <cell r="O2845">
            <v>100</v>
          </cell>
          <cell r="AP2845">
            <v>1454</v>
          </cell>
        </row>
        <row r="2846">
          <cell r="C2846">
            <v>44416</v>
          </cell>
          <cell r="N2846">
            <v>475</v>
          </cell>
          <cell r="O2846">
            <v>100</v>
          </cell>
          <cell r="AP2846">
            <v>1267</v>
          </cell>
        </row>
        <row r="2847">
          <cell r="C2847">
            <v>44416</v>
          </cell>
          <cell r="N2847">
            <v>485</v>
          </cell>
          <cell r="O2847">
            <v>100</v>
          </cell>
          <cell r="AP2847">
            <v>1085</v>
          </cell>
        </row>
        <row r="2848">
          <cell r="C2848">
            <v>44416</v>
          </cell>
          <cell r="N2848">
            <v>485</v>
          </cell>
          <cell r="O2848">
            <v>100</v>
          </cell>
          <cell r="AP2848">
            <v>1046</v>
          </cell>
        </row>
        <row r="2849">
          <cell r="C2849">
            <v>44416</v>
          </cell>
          <cell r="N2849">
            <v>485</v>
          </cell>
          <cell r="O2849">
            <v>100</v>
          </cell>
          <cell r="AP2849">
            <v>1043</v>
          </cell>
        </row>
        <row r="2850">
          <cell r="C2850">
            <v>44416</v>
          </cell>
          <cell r="N2850">
            <v>485</v>
          </cell>
          <cell r="O2850">
            <v>100</v>
          </cell>
          <cell r="AP2850">
            <v>1035</v>
          </cell>
        </row>
        <row r="2851">
          <cell r="C2851">
            <v>44418</v>
          </cell>
          <cell r="N2851">
            <v>480</v>
          </cell>
          <cell r="O2851">
            <v>90</v>
          </cell>
          <cell r="AP2851">
            <v>1413</v>
          </cell>
        </row>
        <row r="2852">
          <cell r="C2852">
            <v>44418</v>
          </cell>
          <cell r="N2852">
            <v>480</v>
          </cell>
          <cell r="O2852">
            <v>90</v>
          </cell>
          <cell r="AP2852">
            <v>1331</v>
          </cell>
        </row>
        <row r="2853">
          <cell r="C2853">
            <v>44418</v>
          </cell>
          <cell r="N2853">
            <v>480</v>
          </cell>
          <cell r="O2853">
            <v>90</v>
          </cell>
          <cell r="AP2853">
            <v>1485</v>
          </cell>
        </row>
        <row r="2854">
          <cell r="C2854">
            <v>44418</v>
          </cell>
          <cell r="N2854">
            <v>480</v>
          </cell>
          <cell r="O2854">
            <v>90</v>
          </cell>
          <cell r="AP2854">
            <v>1348</v>
          </cell>
        </row>
        <row r="2855">
          <cell r="C2855">
            <v>44418</v>
          </cell>
          <cell r="N2855">
            <v>480</v>
          </cell>
          <cell r="O2855">
            <v>90</v>
          </cell>
          <cell r="AP2855">
            <v>1271</v>
          </cell>
        </row>
        <row r="2856">
          <cell r="C2856">
            <v>44418</v>
          </cell>
          <cell r="N2856">
            <v>480</v>
          </cell>
          <cell r="O2856">
            <v>90</v>
          </cell>
          <cell r="AP2856">
            <v>1421</v>
          </cell>
        </row>
        <row r="2857">
          <cell r="C2857">
            <v>44418</v>
          </cell>
          <cell r="N2857">
            <v>480</v>
          </cell>
          <cell r="O2857">
            <v>90</v>
          </cell>
          <cell r="AP2857">
            <v>1360</v>
          </cell>
        </row>
        <row r="2858">
          <cell r="C2858">
            <v>44418</v>
          </cell>
          <cell r="N2858">
            <v>480</v>
          </cell>
          <cell r="O2858">
            <v>90</v>
          </cell>
          <cell r="AP2858">
            <v>1281</v>
          </cell>
        </row>
        <row r="2859">
          <cell r="C2859">
            <v>44418</v>
          </cell>
          <cell r="N2859">
            <v>480</v>
          </cell>
          <cell r="O2859">
            <v>90</v>
          </cell>
          <cell r="AP2859">
            <v>1433</v>
          </cell>
        </row>
        <row r="2860">
          <cell r="C2860">
            <v>44418</v>
          </cell>
          <cell r="N2860">
            <v>480</v>
          </cell>
          <cell r="O2860">
            <v>90</v>
          </cell>
          <cell r="AP2860">
            <v>1337</v>
          </cell>
        </row>
        <row r="2861">
          <cell r="C2861">
            <v>44418</v>
          </cell>
          <cell r="N2861">
            <v>480</v>
          </cell>
          <cell r="O2861">
            <v>90</v>
          </cell>
          <cell r="AP2861">
            <v>1258</v>
          </cell>
        </row>
        <row r="2862">
          <cell r="C2862">
            <v>44418</v>
          </cell>
          <cell r="N2862">
            <v>480</v>
          </cell>
          <cell r="O2862">
            <v>90</v>
          </cell>
          <cell r="AP2862">
            <v>1407</v>
          </cell>
        </row>
        <row r="2863">
          <cell r="C2863">
            <v>44418</v>
          </cell>
          <cell r="N2863">
            <v>480</v>
          </cell>
          <cell r="O2863">
            <v>90</v>
          </cell>
          <cell r="AP2863">
            <v>1369</v>
          </cell>
        </row>
        <row r="2864">
          <cell r="C2864">
            <v>44418</v>
          </cell>
          <cell r="N2864">
            <v>480</v>
          </cell>
          <cell r="O2864">
            <v>90</v>
          </cell>
          <cell r="AP2864">
            <v>1230</v>
          </cell>
        </row>
        <row r="2865">
          <cell r="C2865">
            <v>44418</v>
          </cell>
          <cell r="N2865">
            <v>480</v>
          </cell>
          <cell r="O2865">
            <v>90</v>
          </cell>
          <cell r="AP2865">
            <v>1379</v>
          </cell>
        </row>
        <row r="2866">
          <cell r="C2866">
            <v>44418</v>
          </cell>
          <cell r="N2866">
            <v>480</v>
          </cell>
          <cell r="O2866">
            <v>90</v>
          </cell>
          <cell r="AP2866">
            <v>1398</v>
          </cell>
        </row>
        <row r="2867">
          <cell r="C2867">
            <v>44418</v>
          </cell>
          <cell r="N2867">
            <v>480</v>
          </cell>
          <cell r="O2867">
            <v>90</v>
          </cell>
          <cell r="AP2867">
            <v>1254</v>
          </cell>
        </row>
        <row r="2868">
          <cell r="C2868">
            <v>44418</v>
          </cell>
          <cell r="N2868">
            <v>480</v>
          </cell>
          <cell r="O2868">
            <v>90</v>
          </cell>
          <cell r="AP2868">
            <v>1408</v>
          </cell>
        </row>
        <row r="2869">
          <cell r="C2869">
            <v>44418</v>
          </cell>
          <cell r="N2869">
            <v>480</v>
          </cell>
          <cell r="O2869">
            <v>90</v>
          </cell>
          <cell r="AP2869">
            <v>1488</v>
          </cell>
        </row>
        <row r="2870">
          <cell r="C2870">
            <v>44418</v>
          </cell>
          <cell r="N2870">
            <v>480</v>
          </cell>
          <cell r="O2870">
            <v>90</v>
          </cell>
          <cell r="AP2870">
            <v>1338</v>
          </cell>
        </row>
        <row r="2871">
          <cell r="C2871">
            <v>44418</v>
          </cell>
          <cell r="N2871">
            <v>480</v>
          </cell>
          <cell r="O2871">
            <v>90</v>
          </cell>
          <cell r="AP2871">
            <v>1502</v>
          </cell>
        </row>
        <row r="2872">
          <cell r="C2872">
            <v>44418</v>
          </cell>
          <cell r="N2872">
            <v>480</v>
          </cell>
          <cell r="O2872">
            <v>90</v>
          </cell>
          <cell r="AP2872">
            <v>1452</v>
          </cell>
        </row>
        <row r="2873">
          <cell r="C2873">
            <v>44418</v>
          </cell>
          <cell r="N2873">
            <v>480</v>
          </cell>
          <cell r="O2873">
            <v>90</v>
          </cell>
          <cell r="AP2873">
            <v>1307</v>
          </cell>
        </row>
        <row r="2874">
          <cell r="C2874">
            <v>44418</v>
          </cell>
          <cell r="N2874">
            <v>480</v>
          </cell>
          <cell r="O2874">
            <v>90</v>
          </cell>
          <cell r="AP2874">
            <v>1464</v>
          </cell>
        </row>
        <row r="2875">
          <cell r="C2875">
            <v>44418</v>
          </cell>
          <cell r="N2875">
            <v>480</v>
          </cell>
          <cell r="O2875">
            <v>90</v>
          </cell>
          <cell r="AP2875">
            <v>1161</v>
          </cell>
        </row>
        <row r="2876">
          <cell r="C2876">
            <v>44418</v>
          </cell>
          <cell r="N2876">
            <v>480</v>
          </cell>
          <cell r="O2876">
            <v>90</v>
          </cell>
          <cell r="AP2876">
            <v>991</v>
          </cell>
        </row>
        <row r="2877">
          <cell r="C2877">
            <v>44418</v>
          </cell>
          <cell r="N2877">
            <v>480</v>
          </cell>
          <cell r="O2877">
            <v>90</v>
          </cell>
          <cell r="AP2877">
            <v>1012</v>
          </cell>
        </row>
        <row r="2878">
          <cell r="C2878">
            <v>44418</v>
          </cell>
          <cell r="N2878">
            <v>480</v>
          </cell>
          <cell r="O2878">
            <v>90</v>
          </cell>
          <cell r="AP2878">
            <v>1127</v>
          </cell>
        </row>
        <row r="2879">
          <cell r="C2879">
            <v>44418</v>
          </cell>
          <cell r="N2879">
            <v>480</v>
          </cell>
          <cell r="O2879">
            <v>90</v>
          </cell>
          <cell r="AP2879">
            <v>1171</v>
          </cell>
        </row>
        <row r="2880">
          <cell r="C2880">
            <v>44418</v>
          </cell>
          <cell r="N2880">
            <v>480</v>
          </cell>
          <cell r="O2880">
            <v>90</v>
          </cell>
          <cell r="AP2880">
            <v>998</v>
          </cell>
        </row>
        <row r="2881">
          <cell r="C2881">
            <v>44418</v>
          </cell>
          <cell r="N2881">
            <v>480</v>
          </cell>
          <cell r="O2881">
            <v>90</v>
          </cell>
          <cell r="AP2881">
            <v>1020</v>
          </cell>
        </row>
        <row r="2882">
          <cell r="C2882">
            <v>44418</v>
          </cell>
          <cell r="N2882">
            <v>480</v>
          </cell>
          <cell r="O2882">
            <v>90</v>
          </cell>
          <cell r="AP2882">
            <v>1135</v>
          </cell>
        </row>
        <row r="2883">
          <cell r="C2883">
            <v>44418</v>
          </cell>
          <cell r="N2883">
            <v>480</v>
          </cell>
          <cell r="O2883">
            <v>90</v>
          </cell>
          <cell r="AP2883">
            <v>1187</v>
          </cell>
        </row>
        <row r="2884">
          <cell r="C2884">
            <v>44418</v>
          </cell>
          <cell r="N2884">
            <v>480</v>
          </cell>
          <cell r="O2884">
            <v>90</v>
          </cell>
          <cell r="AP2884">
            <v>1011</v>
          </cell>
        </row>
        <row r="2885">
          <cell r="C2885">
            <v>44418</v>
          </cell>
          <cell r="N2885">
            <v>480</v>
          </cell>
          <cell r="O2885">
            <v>90</v>
          </cell>
          <cell r="AP2885">
            <v>1031</v>
          </cell>
        </row>
        <row r="2886">
          <cell r="C2886">
            <v>44418</v>
          </cell>
          <cell r="N2886">
            <v>480</v>
          </cell>
          <cell r="O2886">
            <v>90</v>
          </cell>
          <cell r="AP2886">
            <v>1150</v>
          </cell>
        </row>
        <row r="2887">
          <cell r="C2887">
            <v>44418</v>
          </cell>
          <cell r="N2887">
            <v>480</v>
          </cell>
          <cell r="O2887">
            <v>100</v>
          </cell>
          <cell r="AP2887">
            <v>2200</v>
          </cell>
        </row>
        <row r="2888">
          <cell r="C2888">
            <v>44418</v>
          </cell>
          <cell r="N2888">
            <v>480</v>
          </cell>
          <cell r="O2888">
            <v>100</v>
          </cell>
          <cell r="AP2888">
            <v>2011</v>
          </cell>
        </row>
        <row r="2889">
          <cell r="C2889">
            <v>44418</v>
          </cell>
          <cell r="N2889">
            <v>480</v>
          </cell>
          <cell r="O2889">
            <v>100</v>
          </cell>
          <cell r="AP2889">
            <v>2229</v>
          </cell>
        </row>
        <row r="2890">
          <cell r="C2890">
            <v>44418</v>
          </cell>
          <cell r="N2890">
            <v>480</v>
          </cell>
          <cell r="O2890">
            <v>100</v>
          </cell>
          <cell r="AP2890">
            <v>2036</v>
          </cell>
        </row>
        <row r="2891">
          <cell r="C2891">
            <v>44418</v>
          </cell>
          <cell r="N2891">
            <v>480</v>
          </cell>
          <cell r="O2891">
            <v>100</v>
          </cell>
          <cell r="AP2891">
            <v>2233</v>
          </cell>
        </row>
        <row r="2892">
          <cell r="C2892">
            <v>44418</v>
          </cell>
          <cell r="N2892">
            <v>480</v>
          </cell>
          <cell r="O2892">
            <v>100</v>
          </cell>
          <cell r="AP2892">
            <v>2041</v>
          </cell>
        </row>
        <row r="2893">
          <cell r="C2893">
            <v>44418</v>
          </cell>
          <cell r="N2893">
            <v>480</v>
          </cell>
          <cell r="O2893">
            <v>100</v>
          </cell>
          <cell r="AP2893">
            <v>2213</v>
          </cell>
        </row>
        <row r="2894">
          <cell r="C2894">
            <v>44418</v>
          </cell>
          <cell r="N2894">
            <v>480</v>
          </cell>
          <cell r="O2894">
            <v>100</v>
          </cell>
          <cell r="AP2894">
            <v>2113</v>
          </cell>
        </row>
        <row r="2895">
          <cell r="C2895">
            <v>44418</v>
          </cell>
          <cell r="N2895">
            <v>480</v>
          </cell>
          <cell r="O2895">
            <v>100</v>
          </cell>
          <cell r="AP2895">
            <v>2217</v>
          </cell>
        </row>
        <row r="2896">
          <cell r="C2896">
            <v>44418</v>
          </cell>
          <cell r="N2896">
            <v>480</v>
          </cell>
          <cell r="O2896">
            <v>100</v>
          </cell>
          <cell r="AP2896">
            <v>2119</v>
          </cell>
        </row>
        <row r="2897">
          <cell r="C2897">
            <v>44418</v>
          </cell>
          <cell r="N2897">
            <v>480</v>
          </cell>
          <cell r="O2897">
            <v>90</v>
          </cell>
          <cell r="AP2897">
            <v>1121</v>
          </cell>
        </row>
        <row r="2898">
          <cell r="C2898">
            <v>44418</v>
          </cell>
          <cell r="N2898">
            <v>480</v>
          </cell>
          <cell r="O2898">
            <v>90</v>
          </cell>
          <cell r="AP2898">
            <v>956</v>
          </cell>
        </row>
        <row r="2899">
          <cell r="C2899">
            <v>44418</v>
          </cell>
          <cell r="N2899">
            <v>480</v>
          </cell>
          <cell r="O2899">
            <v>90</v>
          </cell>
          <cell r="AP2899">
            <v>976</v>
          </cell>
        </row>
        <row r="2900">
          <cell r="C2900">
            <v>44418</v>
          </cell>
          <cell r="N2900">
            <v>480</v>
          </cell>
          <cell r="O2900">
            <v>90</v>
          </cell>
          <cell r="AP2900">
            <v>1088</v>
          </cell>
        </row>
        <row r="2901">
          <cell r="C2901">
            <v>44418</v>
          </cell>
          <cell r="N2901">
            <v>475</v>
          </cell>
          <cell r="O2901">
            <v>90</v>
          </cell>
          <cell r="AP2901">
            <v>1144</v>
          </cell>
        </row>
        <row r="2902">
          <cell r="C2902">
            <v>44418</v>
          </cell>
          <cell r="N2902">
            <v>475</v>
          </cell>
          <cell r="O2902">
            <v>90</v>
          </cell>
          <cell r="AP2902">
            <v>876</v>
          </cell>
        </row>
        <row r="2903">
          <cell r="C2903">
            <v>44418</v>
          </cell>
          <cell r="N2903">
            <v>475</v>
          </cell>
          <cell r="O2903">
            <v>90</v>
          </cell>
          <cell r="AP2903">
            <v>895</v>
          </cell>
        </row>
        <row r="2904">
          <cell r="C2904">
            <v>44418</v>
          </cell>
          <cell r="N2904">
            <v>475</v>
          </cell>
          <cell r="O2904">
            <v>90</v>
          </cell>
          <cell r="AP2904">
            <v>1114</v>
          </cell>
        </row>
        <row r="2905">
          <cell r="C2905">
            <v>44418</v>
          </cell>
          <cell r="N2905">
            <v>475</v>
          </cell>
          <cell r="O2905">
            <v>90</v>
          </cell>
          <cell r="AP2905">
            <v>1136</v>
          </cell>
        </row>
        <row r="2906">
          <cell r="C2906">
            <v>44418</v>
          </cell>
          <cell r="N2906">
            <v>475</v>
          </cell>
          <cell r="O2906">
            <v>90</v>
          </cell>
          <cell r="AP2906">
            <v>869</v>
          </cell>
        </row>
        <row r="2907">
          <cell r="C2907">
            <v>44418</v>
          </cell>
          <cell r="N2907">
            <v>475</v>
          </cell>
          <cell r="O2907">
            <v>90</v>
          </cell>
          <cell r="AP2907">
            <v>889</v>
          </cell>
        </row>
        <row r="2908">
          <cell r="C2908">
            <v>44418</v>
          </cell>
          <cell r="N2908">
            <v>475</v>
          </cell>
          <cell r="O2908">
            <v>90</v>
          </cell>
          <cell r="AP2908">
            <v>1106</v>
          </cell>
        </row>
        <row r="2909">
          <cell r="C2909">
            <v>44418</v>
          </cell>
          <cell r="N2909">
            <v>475</v>
          </cell>
          <cell r="O2909">
            <v>90</v>
          </cell>
          <cell r="AP2909">
            <v>1130</v>
          </cell>
        </row>
        <row r="2910">
          <cell r="C2910">
            <v>44418</v>
          </cell>
          <cell r="N2910">
            <v>475</v>
          </cell>
          <cell r="O2910">
            <v>90</v>
          </cell>
          <cell r="AP2910">
            <v>865</v>
          </cell>
        </row>
        <row r="2911">
          <cell r="C2911">
            <v>44418</v>
          </cell>
          <cell r="N2911">
            <v>475</v>
          </cell>
          <cell r="O2911">
            <v>90</v>
          </cell>
          <cell r="AP2911">
            <v>884</v>
          </cell>
        </row>
        <row r="2912">
          <cell r="C2912">
            <v>44418</v>
          </cell>
          <cell r="N2912">
            <v>475</v>
          </cell>
          <cell r="O2912">
            <v>90</v>
          </cell>
          <cell r="AP2912">
            <v>1100</v>
          </cell>
        </row>
        <row r="2913">
          <cell r="C2913">
            <v>44418</v>
          </cell>
          <cell r="N2913">
            <v>475</v>
          </cell>
          <cell r="O2913">
            <v>90</v>
          </cell>
          <cell r="AP2913">
            <v>1136</v>
          </cell>
        </row>
        <row r="2914">
          <cell r="C2914">
            <v>44418</v>
          </cell>
          <cell r="N2914">
            <v>475</v>
          </cell>
          <cell r="O2914">
            <v>90</v>
          </cell>
          <cell r="AP2914">
            <v>869</v>
          </cell>
        </row>
        <row r="2915">
          <cell r="C2915">
            <v>44418</v>
          </cell>
          <cell r="N2915">
            <v>475</v>
          </cell>
          <cell r="O2915">
            <v>90</v>
          </cell>
          <cell r="AP2915">
            <v>888</v>
          </cell>
        </row>
        <row r="2916">
          <cell r="C2916">
            <v>44418</v>
          </cell>
          <cell r="N2916">
            <v>475</v>
          </cell>
          <cell r="O2916">
            <v>90</v>
          </cell>
          <cell r="AP2916">
            <v>1106</v>
          </cell>
        </row>
        <row r="2917">
          <cell r="C2917">
            <v>44418</v>
          </cell>
          <cell r="N2917">
            <v>475</v>
          </cell>
          <cell r="O2917">
            <v>90</v>
          </cell>
          <cell r="AP2917">
            <v>1272</v>
          </cell>
        </row>
        <row r="2918">
          <cell r="C2918">
            <v>44418</v>
          </cell>
          <cell r="N2918">
            <v>475</v>
          </cell>
          <cell r="O2918">
            <v>90</v>
          </cell>
          <cell r="AP2918">
            <v>820</v>
          </cell>
        </row>
        <row r="2919">
          <cell r="C2919">
            <v>44418</v>
          </cell>
          <cell r="N2919">
            <v>475</v>
          </cell>
          <cell r="O2919">
            <v>90</v>
          </cell>
          <cell r="AP2919">
            <v>841</v>
          </cell>
        </row>
        <row r="2920">
          <cell r="C2920">
            <v>44418</v>
          </cell>
          <cell r="N2920">
            <v>475</v>
          </cell>
          <cell r="O2920">
            <v>90</v>
          </cell>
          <cell r="AP2920">
            <v>1243</v>
          </cell>
        </row>
        <row r="2921">
          <cell r="C2921">
            <v>44418</v>
          </cell>
          <cell r="N2921">
            <v>475</v>
          </cell>
          <cell r="O2921">
            <v>90</v>
          </cell>
          <cell r="AP2921">
            <v>1222</v>
          </cell>
        </row>
        <row r="2922">
          <cell r="C2922">
            <v>44418</v>
          </cell>
          <cell r="N2922">
            <v>475</v>
          </cell>
          <cell r="O2922">
            <v>90</v>
          </cell>
          <cell r="AP2922">
            <v>788</v>
          </cell>
        </row>
        <row r="2923">
          <cell r="C2923">
            <v>44418</v>
          </cell>
          <cell r="N2923">
            <v>475</v>
          </cell>
          <cell r="O2923">
            <v>90</v>
          </cell>
          <cell r="AP2923">
            <v>808</v>
          </cell>
        </row>
        <row r="2924">
          <cell r="C2924">
            <v>44418</v>
          </cell>
          <cell r="N2924">
            <v>475</v>
          </cell>
          <cell r="O2924">
            <v>90</v>
          </cell>
          <cell r="AP2924">
            <v>1193</v>
          </cell>
        </row>
        <row r="2925">
          <cell r="C2925">
            <v>44418</v>
          </cell>
          <cell r="N2925">
            <v>475</v>
          </cell>
          <cell r="O2925">
            <v>90</v>
          </cell>
          <cell r="AP2925">
            <v>1208</v>
          </cell>
        </row>
        <row r="2926">
          <cell r="C2926">
            <v>44418</v>
          </cell>
          <cell r="N2926">
            <v>475</v>
          </cell>
          <cell r="O2926">
            <v>90</v>
          </cell>
          <cell r="AP2926">
            <v>778</v>
          </cell>
        </row>
        <row r="2927">
          <cell r="C2927">
            <v>44418</v>
          </cell>
          <cell r="N2927">
            <v>475</v>
          </cell>
          <cell r="O2927">
            <v>90</v>
          </cell>
          <cell r="AP2927">
            <v>798</v>
          </cell>
        </row>
        <row r="2928">
          <cell r="C2928">
            <v>44418</v>
          </cell>
          <cell r="N2928">
            <v>475</v>
          </cell>
          <cell r="O2928">
            <v>90</v>
          </cell>
          <cell r="AP2928">
            <v>1179</v>
          </cell>
        </row>
        <row r="2929">
          <cell r="C2929">
            <v>44418</v>
          </cell>
          <cell r="N2929">
            <v>475</v>
          </cell>
          <cell r="O2929">
            <v>90</v>
          </cell>
          <cell r="AP2929">
            <v>1226</v>
          </cell>
        </row>
        <row r="2930">
          <cell r="C2930">
            <v>44418</v>
          </cell>
          <cell r="N2930">
            <v>475</v>
          </cell>
          <cell r="O2930">
            <v>90</v>
          </cell>
          <cell r="AP2930">
            <v>790</v>
          </cell>
        </row>
        <row r="2931">
          <cell r="C2931">
            <v>44418</v>
          </cell>
          <cell r="N2931">
            <v>475</v>
          </cell>
          <cell r="O2931">
            <v>90</v>
          </cell>
          <cell r="AP2931">
            <v>810</v>
          </cell>
        </row>
        <row r="2932">
          <cell r="C2932">
            <v>44418</v>
          </cell>
          <cell r="N2932">
            <v>475</v>
          </cell>
          <cell r="O2932">
            <v>90</v>
          </cell>
          <cell r="AP2932">
            <v>1198</v>
          </cell>
        </row>
        <row r="2933">
          <cell r="C2933">
            <v>44418</v>
          </cell>
          <cell r="N2933">
            <v>475</v>
          </cell>
          <cell r="O2933">
            <v>90</v>
          </cell>
          <cell r="AP2933">
            <v>1200</v>
          </cell>
        </row>
        <row r="2934">
          <cell r="C2934">
            <v>44418</v>
          </cell>
          <cell r="N2934">
            <v>475</v>
          </cell>
          <cell r="O2934">
            <v>90</v>
          </cell>
          <cell r="AP2934">
            <v>844</v>
          </cell>
        </row>
        <row r="2935">
          <cell r="C2935">
            <v>44418</v>
          </cell>
          <cell r="N2935">
            <v>475</v>
          </cell>
          <cell r="O2935">
            <v>90</v>
          </cell>
          <cell r="AP2935">
            <v>865</v>
          </cell>
        </row>
        <row r="2936">
          <cell r="C2936">
            <v>44418</v>
          </cell>
          <cell r="N2936">
            <v>475</v>
          </cell>
          <cell r="O2936">
            <v>90</v>
          </cell>
          <cell r="AP2936">
            <v>1170</v>
          </cell>
        </row>
        <row r="2937">
          <cell r="C2937">
            <v>44418</v>
          </cell>
          <cell r="N2937">
            <v>475</v>
          </cell>
          <cell r="O2937">
            <v>90</v>
          </cell>
          <cell r="AP2937">
            <v>1234</v>
          </cell>
        </row>
        <row r="2938">
          <cell r="C2938">
            <v>44418</v>
          </cell>
          <cell r="N2938">
            <v>475</v>
          </cell>
          <cell r="O2938">
            <v>90</v>
          </cell>
          <cell r="AP2938">
            <v>866</v>
          </cell>
        </row>
        <row r="2939">
          <cell r="C2939">
            <v>44418</v>
          </cell>
          <cell r="N2939">
            <v>475</v>
          </cell>
          <cell r="O2939">
            <v>90</v>
          </cell>
          <cell r="AP2939">
            <v>887</v>
          </cell>
        </row>
        <row r="2940">
          <cell r="C2940">
            <v>44418</v>
          </cell>
          <cell r="N2940">
            <v>475</v>
          </cell>
          <cell r="O2940">
            <v>90</v>
          </cell>
          <cell r="AP2940">
            <v>1201</v>
          </cell>
        </row>
        <row r="2941">
          <cell r="C2941">
            <v>44418</v>
          </cell>
          <cell r="N2941">
            <v>475</v>
          </cell>
          <cell r="O2941">
            <v>90</v>
          </cell>
          <cell r="AP2941">
            <v>1265</v>
          </cell>
        </row>
        <row r="2942">
          <cell r="C2942">
            <v>44418</v>
          </cell>
          <cell r="N2942">
            <v>475</v>
          </cell>
          <cell r="O2942">
            <v>90</v>
          </cell>
          <cell r="AP2942">
            <v>888</v>
          </cell>
        </row>
        <row r="2943">
          <cell r="C2943">
            <v>44418</v>
          </cell>
          <cell r="N2943">
            <v>475</v>
          </cell>
          <cell r="O2943">
            <v>90</v>
          </cell>
          <cell r="AP2943">
            <v>909</v>
          </cell>
        </row>
        <row r="2944">
          <cell r="C2944">
            <v>44418</v>
          </cell>
          <cell r="N2944">
            <v>475</v>
          </cell>
          <cell r="O2944">
            <v>90</v>
          </cell>
          <cell r="AP2944">
            <v>1232</v>
          </cell>
        </row>
        <row r="2945">
          <cell r="C2945">
            <v>44418</v>
          </cell>
          <cell r="N2945">
            <v>475</v>
          </cell>
          <cell r="O2945">
            <v>90</v>
          </cell>
          <cell r="AP2945">
            <v>1196</v>
          </cell>
        </row>
        <row r="2946">
          <cell r="C2946">
            <v>44418</v>
          </cell>
          <cell r="N2946">
            <v>475</v>
          </cell>
          <cell r="O2946">
            <v>90</v>
          </cell>
          <cell r="AP2946">
            <v>841</v>
          </cell>
        </row>
        <row r="2947">
          <cell r="C2947">
            <v>44418</v>
          </cell>
          <cell r="N2947">
            <v>475</v>
          </cell>
          <cell r="O2947">
            <v>90</v>
          </cell>
          <cell r="AP2947">
            <v>867</v>
          </cell>
        </row>
        <row r="2948">
          <cell r="C2948">
            <v>44418</v>
          </cell>
          <cell r="N2948">
            <v>475</v>
          </cell>
          <cell r="O2948">
            <v>90</v>
          </cell>
          <cell r="AP2948">
            <v>1167</v>
          </cell>
        </row>
        <row r="2949">
          <cell r="C2949">
            <v>44418</v>
          </cell>
          <cell r="N2949">
            <v>475</v>
          </cell>
          <cell r="O2949">
            <v>90</v>
          </cell>
          <cell r="AP2949">
            <v>1340</v>
          </cell>
        </row>
        <row r="2950">
          <cell r="C2950">
            <v>44418</v>
          </cell>
          <cell r="N2950">
            <v>475</v>
          </cell>
          <cell r="O2950">
            <v>90</v>
          </cell>
          <cell r="AP2950">
            <v>1413</v>
          </cell>
        </row>
        <row r="2951">
          <cell r="C2951">
            <v>44418</v>
          </cell>
          <cell r="N2951">
            <v>475</v>
          </cell>
          <cell r="O2951">
            <v>90</v>
          </cell>
          <cell r="AP2951">
            <v>1351</v>
          </cell>
        </row>
        <row r="2952">
          <cell r="C2952">
            <v>44418</v>
          </cell>
          <cell r="N2952">
            <v>475</v>
          </cell>
          <cell r="O2952">
            <v>90</v>
          </cell>
          <cell r="AP2952">
            <v>1389</v>
          </cell>
        </row>
        <row r="2953">
          <cell r="C2953">
            <v>44418</v>
          </cell>
          <cell r="N2953">
            <v>475</v>
          </cell>
          <cell r="O2953">
            <v>90</v>
          </cell>
          <cell r="AP2953">
            <v>1464</v>
          </cell>
        </row>
        <row r="2954">
          <cell r="C2954">
            <v>44418</v>
          </cell>
          <cell r="N2954">
            <v>475</v>
          </cell>
          <cell r="O2954">
            <v>90</v>
          </cell>
          <cell r="AP2954">
            <v>1400</v>
          </cell>
        </row>
        <row r="2955">
          <cell r="C2955">
            <v>44418</v>
          </cell>
          <cell r="N2955">
            <v>475</v>
          </cell>
          <cell r="O2955">
            <v>90</v>
          </cell>
          <cell r="AP2955">
            <v>1401</v>
          </cell>
        </row>
        <row r="2956">
          <cell r="C2956">
            <v>44418</v>
          </cell>
          <cell r="N2956">
            <v>475</v>
          </cell>
          <cell r="O2956">
            <v>90</v>
          </cell>
          <cell r="AP2956">
            <v>1476</v>
          </cell>
        </row>
        <row r="2957">
          <cell r="C2957">
            <v>44418</v>
          </cell>
          <cell r="N2957">
            <v>475</v>
          </cell>
          <cell r="O2957">
            <v>90</v>
          </cell>
          <cell r="AP2957">
            <v>1412</v>
          </cell>
        </row>
        <row r="2958">
          <cell r="C2958">
            <v>44418</v>
          </cell>
          <cell r="N2958">
            <v>475</v>
          </cell>
          <cell r="O2958">
            <v>90</v>
          </cell>
          <cell r="AP2958">
            <v>1409</v>
          </cell>
        </row>
        <row r="2959">
          <cell r="C2959">
            <v>44418</v>
          </cell>
          <cell r="N2959">
            <v>475</v>
          </cell>
          <cell r="O2959">
            <v>90</v>
          </cell>
          <cell r="AP2959">
            <v>1488</v>
          </cell>
        </row>
        <row r="2960">
          <cell r="C2960">
            <v>44418</v>
          </cell>
          <cell r="N2960">
            <v>475</v>
          </cell>
          <cell r="O2960">
            <v>90</v>
          </cell>
          <cell r="AP2960">
            <v>1421</v>
          </cell>
        </row>
        <row r="2961">
          <cell r="C2961">
            <v>44418</v>
          </cell>
          <cell r="N2961">
            <v>482.5</v>
          </cell>
          <cell r="O2961">
            <v>90</v>
          </cell>
          <cell r="AP2961">
            <v>1074</v>
          </cell>
        </row>
        <row r="2962">
          <cell r="C2962">
            <v>44418</v>
          </cell>
          <cell r="N2962">
            <v>482.5</v>
          </cell>
          <cell r="O2962">
            <v>90</v>
          </cell>
          <cell r="AP2962">
            <v>995</v>
          </cell>
        </row>
        <row r="2963">
          <cell r="C2963">
            <v>44418</v>
          </cell>
          <cell r="N2963">
            <v>482.5</v>
          </cell>
          <cell r="O2963">
            <v>90</v>
          </cell>
          <cell r="AP2963">
            <v>1036</v>
          </cell>
        </row>
        <row r="2964">
          <cell r="C2964">
            <v>44418</v>
          </cell>
          <cell r="N2964">
            <v>482.5</v>
          </cell>
          <cell r="O2964">
            <v>90</v>
          </cell>
          <cell r="AP2964">
            <v>1041</v>
          </cell>
        </row>
        <row r="2965">
          <cell r="C2965">
            <v>44418</v>
          </cell>
          <cell r="N2965">
            <v>482.5</v>
          </cell>
          <cell r="O2965">
            <v>90</v>
          </cell>
          <cell r="AP2965">
            <v>1084</v>
          </cell>
        </row>
        <row r="2966">
          <cell r="C2966">
            <v>44418</v>
          </cell>
          <cell r="N2966">
            <v>482.5</v>
          </cell>
          <cell r="O2966">
            <v>90</v>
          </cell>
          <cell r="AP2966">
            <v>1004</v>
          </cell>
        </row>
        <row r="2967">
          <cell r="C2967">
            <v>44418</v>
          </cell>
          <cell r="N2967">
            <v>482.5</v>
          </cell>
          <cell r="O2967">
            <v>90</v>
          </cell>
          <cell r="AP2967">
            <v>1045</v>
          </cell>
        </row>
        <row r="2968">
          <cell r="C2968">
            <v>44418</v>
          </cell>
          <cell r="N2968">
            <v>482.5</v>
          </cell>
          <cell r="O2968">
            <v>90</v>
          </cell>
          <cell r="AP2968">
            <v>1052</v>
          </cell>
        </row>
        <row r="2969">
          <cell r="C2969">
            <v>44418</v>
          </cell>
          <cell r="N2969">
            <v>482.5</v>
          </cell>
          <cell r="O2969">
            <v>90</v>
          </cell>
          <cell r="AP2969">
            <v>1087</v>
          </cell>
        </row>
        <row r="2970">
          <cell r="C2970">
            <v>44418</v>
          </cell>
          <cell r="N2970">
            <v>482.5</v>
          </cell>
          <cell r="O2970">
            <v>90</v>
          </cell>
          <cell r="AP2970">
            <v>1007</v>
          </cell>
        </row>
        <row r="2971">
          <cell r="C2971">
            <v>44418</v>
          </cell>
          <cell r="N2971">
            <v>482.5</v>
          </cell>
          <cell r="O2971">
            <v>90</v>
          </cell>
          <cell r="AP2971">
            <v>1049</v>
          </cell>
        </row>
        <row r="2972">
          <cell r="C2972">
            <v>44418</v>
          </cell>
          <cell r="N2972">
            <v>482.5</v>
          </cell>
          <cell r="O2972">
            <v>90</v>
          </cell>
          <cell r="AP2972">
            <v>1054</v>
          </cell>
        </row>
        <row r="2973">
          <cell r="C2973">
            <v>44418</v>
          </cell>
          <cell r="N2973">
            <v>482.5</v>
          </cell>
          <cell r="O2973">
            <v>90</v>
          </cell>
          <cell r="AP2973">
            <v>1125</v>
          </cell>
        </row>
        <row r="2974">
          <cell r="C2974">
            <v>44418</v>
          </cell>
          <cell r="N2974">
            <v>482.5</v>
          </cell>
          <cell r="O2974">
            <v>90</v>
          </cell>
          <cell r="AP2974">
            <v>1040</v>
          </cell>
        </row>
        <row r="2975">
          <cell r="C2975">
            <v>44418</v>
          </cell>
          <cell r="N2975">
            <v>482.5</v>
          </cell>
          <cell r="O2975">
            <v>90</v>
          </cell>
          <cell r="AP2975">
            <v>1084</v>
          </cell>
        </row>
        <row r="2976">
          <cell r="C2976">
            <v>44418</v>
          </cell>
          <cell r="N2976">
            <v>482.5</v>
          </cell>
          <cell r="O2976">
            <v>90</v>
          </cell>
          <cell r="AP2976">
            <v>1090</v>
          </cell>
        </row>
        <row r="2977">
          <cell r="C2977">
            <v>44418</v>
          </cell>
          <cell r="N2977">
            <v>472.5</v>
          </cell>
          <cell r="O2977">
            <v>90</v>
          </cell>
          <cell r="AP2977">
            <v>1360</v>
          </cell>
        </row>
        <row r="2978">
          <cell r="C2978">
            <v>44418</v>
          </cell>
          <cell r="N2978">
            <v>472.5</v>
          </cell>
          <cell r="O2978">
            <v>90</v>
          </cell>
          <cell r="AP2978">
            <v>766</v>
          </cell>
        </row>
        <row r="2979">
          <cell r="C2979">
            <v>44418</v>
          </cell>
          <cell r="N2979">
            <v>472.5</v>
          </cell>
          <cell r="O2979">
            <v>90</v>
          </cell>
          <cell r="AP2979">
            <v>813</v>
          </cell>
        </row>
        <row r="2980">
          <cell r="C2980">
            <v>44418</v>
          </cell>
          <cell r="N2980">
            <v>472.5</v>
          </cell>
          <cell r="O2980">
            <v>90</v>
          </cell>
          <cell r="AP2980">
            <v>1283</v>
          </cell>
        </row>
        <row r="2981">
          <cell r="C2981">
            <v>44418</v>
          </cell>
          <cell r="N2981">
            <v>472.5</v>
          </cell>
          <cell r="O2981">
            <v>90</v>
          </cell>
          <cell r="AP2981">
            <v>1361</v>
          </cell>
        </row>
        <row r="2982">
          <cell r="C2982">
            <v>44418</v>
          </cell>
          <cell r="N2982">
            <v>472.5</v>
          </cell>
          <cell r="O2982">
            <v>90</v>
          </cell>
          <cell r="AP2982">
            <v>767</v>
          </cell>
        </row>
        <row r="2983">
          <cell r="C2983">
            <v>44418</v>
          </cell>
          <cell r="N2983">
            <v>472.5</v>
          </cell>
          <cell r="O2983">
            <v>90</v>
          </cell>
          <cell r="AP2983">
            <v>812</v>
          </cell>
        </row>
        <row r="2984">
          <cell r="C2984">
            <v>44418</v>
          </cell>
          <cell r="N2984">
            <v>472.5</v>
          </cell>
          <cell r="O2984">
            <v>90</v>
          </cell>
          <cell r="AP2984">
            <v>1286</v>
          </cell>
        </row>
        <row r="2985">
          <cell r="C2985">
            <v>44418</v>
          </cell>
          <cell r="N2985">
            <v>472.5</v>
          </cell>
          <cell r="O2985">
            <v>90</v>
          </cell>
          <cell r="AP2985">
            <v>1358</v>
          </cell>
        </row>
        <row r="2986">
          <cell r="C2986">
            <v>44418</v>
          </cell>
          <cell r="N2986">
            <v>472.5</v>
          </cell>
          <cell r="O2986">
            <v>90</v>
          </cell>
          <cell r="AP2986">
            <v>765</v>
          </cell>
        </row>
        <row r="2987">
          <cell r="C2987">
            <v>44418</v>
          </cell>
          <cell r="N2987">
            <v>472.5</v>
          </cell>
          <cell r="O2987">
            <v>90</v>
          </cell>
          <cell r="AP2987">
            <v>809</v>
          </cell>
        </row>
        <row r="2988">
          <cell r="C2988">
            <v>44418</v>
          </cell>
          <cell r="N2988">
            <v>472.5</v>
          </cell>
          <cell r="O2988">
            <v>90</v>
          </cell>
          <cell r="AP2988">
            <v>1282</v>
          </cell>
        </row>
        <row r="2989">
          <cell r="C2989">
            <v>44418</v>
          </cell>
          <cell r="N2989">
            <v>472.5</v>
          </cell>
          <cell r="O2989">
            <v>90</v>
          </cell>
          <cell r="AP2989">
            <v>1369</v>
          </cell>
        </row>
        <row r="2990">
          <cell r="C2990">
            <v>44418</v>
          </cell>
          <cell r="N2990">
            <v>472.5</v>
          </cell>
          <cell r="O2990">
            <v>90</v>
          </cell>
          <cell r="AP2990">
            <v>771</v>
          </cell>
        </row>
        <row r="2991">
          <cell r="C2991">
            <v>44418</v>
          </cell>
          <cell r="N2991">
            <v>472.5</v>
          </cell>
          <cell r="O2991">
            <v>90</v>
          </cell>
          <cell r="AP2991">
            <v>817</v>
          </cell>
        </row>
        <row r="2992">
          <cell r="C2992">
            <v>44418</v>
          </cell>
          <cell r="N2992">
            <v>472.5</v>
          </cell>
          <cell r="O2992">
            <v>90</v>
          </cell>
          <cell r="AP2992">
            <v>1278</v>
          </cell>
        </row>
        <row r="2993">
          <cell r="C2993">
            <v>44418</v>
          </cell>
          <cell r="N2993">
            <v>483</v>
          </cell>
          <cell r="O2993">
            <v>100</v>
          </cell>
          <cell r="AP2993">
            <v>1477</v>
          </cell>
        </row>
        <row r="2994">
          <cell r="C2994">
            <v>44418</v>
          </cell>
          <cell r="N2994">
            <v>483</v>
          </cell>
          <cell r="O2994">
            <v>100</v>
          </cell>
          <cell r="AP2994">
            <v>729</v>
          </cell>
        </row>
        <row r="2995">
          <cell r="C2995">
            <v>44418</v>
          </cell>
          <cell r="N2995">
            <v>483</v>
          </cell>
          <cell r="O2995">
            <v>100</v>
          </cell>
          <cell r="AP2995">
            <v>727</v>
          </cell>
        </row>
        <row r="2996">
          <cell r="C2996">
            <v>44418</v>
          </cell>
          <cell r="N2996">
            <v>483</v>
          </cell>
          <cell r="O2996">
            <v>100</v>
          </cell>
          <cell r="AP2996">
            <v>1191</v>
          </cell>
        </row>
        <row r="2997">
          <cell r="C2997">
            <v>44418</v>
          </cell>
          <cell r="N2997">
            <v>483</v>
          </cell>
          <cell r="O2997">
            <v>100</v>
          </cell>
          <cell r="AP2997">
            <v>1518</v>
          </cell>
        </row>
        <row r="2998">
          <cell r="C2998">
            <v>44418</v>
          </cell>
          <cell r="N2998">
            <v>483</v>
          </cell>
          <cell r="O2998">
            <v>100</v>
          </cell>
          <cell r="AP2998">
            <v>781</v>
          </cell>
        </row>
        <row r="2999">
          <cell r="C2999">
            <v>44418</v>
          </cell>
          <cell r="N2999">
            <v>483</v>
          </cell>
          <cell r="O2999">
            <v>100</v>
          </cell>
          <cell r="AP2999">
            <v>778</v>
          </cell>
        </row>
        <row r="3000">
          <cell r="C3000">
            <v>44418</v>
          </cell>
          <cell r="N3000">
            <v>483</v>
          </cell>
          <cell r="O3000">
            <v>100</v>
          </cell>
          <cell r="AP3000">
            <v>1115</v>
          </cell>
        </row>
        <row r="3001">
          <cell r="C3001">
            <v>44418</v>
          </cell>
          <cell r="N3001">
            <v>485</v>
          </cell>
          <cell r="O3001">
            <v>100</v>
          </cell>
          <cell r="AP3001">
            <v>1592</v>
          </cell>
        </row>
        <row r="3002">
          <cell r="C3002">
            <v>44418</v>
          </cell>
          <cell r="N3002">
            <v>485</v>
          </cell>
          <cell r="O3002">
            <v>100</v>
          </cell>
          <cell r="AP3002">
            <v>1239</v>
          </cell>
        </row>
        <row r="3003">
          <cell r="C3003">
            <v>44418</v>
          </cell>
          <cell r="N3003">
            <v>485</v>
          </cell>
          <cell r="O3003">
            <v>100</v>
          </cell>
          <cell r="AP3003">
            <v>1582</v>
          </cell>
        </row>
        <row r="3004">
          <cell r="C3004">
            <v>44418</v>
          </cell>
          <cell r="N3004">
            <v>485</v>
          </cell>
          <cell r="O3004">
            <v>100</v>
          </cell>
          <cell r="AP3004">
            <v>1607</v>
          </cell>
        </row>
        <row r="3005">
          <cell r="C3005">
            <v>44418</v>
          </cell>
          <cell r="N3005">
            <v>485</v>
          </cell>
          <cell r="O3005">
            <v>100</v>
          </cell>
          <cell r="AP3005">
            <v>1251</v>
          </cell>
        </row>
        <row r="3006">
          <cell r="C3006">
            <v>44418</v>
          </cell>
          <cell r="N3006">
            <v>485</v>
          </cell>
          <cell r="O3006">
            <v>100</v>
          </cell>
          <cell r="AP3006">
            <v>1598</v>
          </cell>
        </row>
        <row r="3007">
          <cell r="C3007">
            <v>44419</v>
          </cell>
          <cell r="N3007">
            <v>480</v>
          </cell>
          <cell r="O3007">
            <v>100</v>
          </cell>
          <cell r="AP3007">
            <v>1435</v>
          </cell>
        </row>
        <row r="3008">
          <cell r="C3008">
            <v>44419</v>
          </cell>
          <cell r="N3008">
            <v>480</v>
          </cell>
          <cell r="O3008">
            <v>100</v>
          </cell>
          <cell r="AP3008">
            <v>1103</v>
          </cell>
        </row>
        <row r="3009">
          <cell r="C3009">
            <v>44419</v>
          </cell>
          <cell r="N3009">
            <v>480</v>
          </cell>
          <cell r="O3009">
            <v>100</v>
          </cell>
          <cell r="AP3009">
            <v>1509</v>
          </cell>
        </row>
        <row r="3010">
          <cell r="C3010">
            <v>44419</v>
          </cell>
          <cell r="N3010">
            <v>480</v>
          </cell>
          <cell r="O3010">
            <v>100</v>
          </cell>
          <cell r="AP3010">
            <v>1452</v>
          </cell>
        </row>
        <row r="3011">
          <cell r="C3011">
            <v>44419</v>
          </cell>
          <cell r="N3011">
            <v>480</v>
          </cell>
          <cell r="O3011">
            <v>100</v>
          </cell>
          <cell r="AP3011">
            <v>1119</v>
          </cell>
        </row>
        <row r="3012">
          <cell r="C3012">
            <v>44419</v>
          </cell>
          <cell r="N3012">
            <v>480</v>
          </cell>
          <cell r="O3012">
            <v>100</v>
          </cell>
          <cell r="AP3012">
            <v>1529</v>
          </cell>
        </row>
        <row r="3013">
          <cell r="C3013">
            <v>44419</v>
          </cell>
          <cell r="N3013">
            <v>480</v>
          </cell>
          <cell r="O3013">
            <v>100</v>
          </cell>
          <cell r="AP3013">
            <v>1469</v>
          </cell>
        </row>
        <row r="3014">
          <cell r="C3014">
            <v>44419</v>
          </cell>
          <cell r="N3014">
            <v>480</v>
          </cell>
          <cell r="O3014">
            <v>100</v>
          </cell>
          <cell r="AP3014">
            <v>1132</v>
          </cell>
        </row>
        <row r="3015">
          <cell r="C3015">
            <v>44419</v>
          </cell>
          <cell r="N3015">
            <v>480</v>
          </cell>
          <cell r="O3015">
            <v>100</v>
          </cell>
          <cell r="AP3015">
            <v>1548</v>
          </cell>
        </row>
        <row r="3016">
          <cell r="C3016">
            <v>44419</v>
          </cell>
          <cell r="N3016">
            <v>480</v>
          </cell>
          <cell r="O3016">
            <v>100</v>
          </cell>
          <cell r="AP3016">
            <v>1500</v>
          </cell>
        </row>
        <row r="3017">
          <cell r="C3017">
            <v>44419</v>
          </cell>
          <cell r="N3017">
            <v>480</v>
          </cell>
          <cell r="O3017">
            <v>100</v>
          </cell>
          <cell r="AP3017">
            <v>1155</v>
          </cell>
        </row>
        <row r="3018">
          <cell r="C3018">
            <v>44419</v>
          </cell>
          <cell r="N3018">
            <v>480</v>
          </cell>
          <cell r="O3018">
            <v>100</v>
          </cell>
          <cell r="AP3018">
            <v>1579</v>
          </cell>
        </row>
        <row r="3019">
          <cell r="C3019">
            <v>44419</v>
          </cell>
          <cell r="N3019">
            <v>480</v>
          </cell>
          <cell r="O3019">
            <v>100</v>
          </cell>
          <cell r="AP3019">
            <v>1510</v>
          </cell>
        </row>
        <row r="3020">
          <cell r="C3020">
            <v>44419</v>
          </cell>
          <cell r="N3020">
            <v>480</v>
          </cell>
          <cell r="O3020">
            <v>100</v>
          </cell>
          <cell r="AP3020">
            <v>1167</v>
          </cell>
        </row>
        <row r="3021">
          <cell r="C3021">
            <v>44419</v>
          </cell>
          <cell r="N3021">
            <v>480</v>
          </cell>
          <cell r="O3021">
            <v>100</v>
          </cell>
          <cell r="AP3021">
            <v>1583</v>
          </cell>
        </row>
        <row r="3022">
          <cell r="C3022">
            <v>44419</v>
          </cell>
          <cell r="N3022">
            <v>480</v>
          </cell>
          <cell r="O3022">
            <v>100</v>
          </cell>
          <cell r="AP3022">
            <v>1490</v>
          </cell>
        </row>
        <row r="3023">
          <cell r="C3023">
            <v>44419</v>
          </cell>
          <cell r="N3023">
            <v>480</v>
          </cell>
          <cell r="O3023">
            <v>100</v>
          </cell>
          <cell r="AP3023">
            <v>1150</v>
          </cell>
        </row>
        <row r="3024">
          <cell r="C3024">
            <v>44419</v>
          </cell>
          <cell r="N3024">
            <v>480</v>
          </cell>
          <cell r="O3024">
            <v>100</v>
          </cell>
          <cell r="AP3024">
            <v>1575</v>
          </cell>
        </row>
        <row r="3025">
          <cell r="C3025">
            <v>44419</v>
          </cell>
          <cell r="N3025">
            <v>480</v>
          </cell>
          <cell r="O3025">
            <v>100</v>
          </cell>
          <cell r="AP3025">
            <v>1506</v>
          </cell>
        </row>
        <row r="3026">
          <cell r="C3026">
            <v>44419</v>
          </cell>
          <cell r="N3026">
            <v>480</v>
          </cell>
          <cell r="O3026">
            <v>100</v>
          </cell>
          <cell r="AP3026">
            <v>1161</v>
          </cell>
        </row>
        <row r="3027">
          <cell r="C3027">
            <v>44419</v>
          </cell>
          <cell r="N3027">
            <v>480</v>
          </cell>
          <cell r="O3027">
            <v>100</v>
          </cell>
          <cell r="AP3027">
            <v>1584</v>
          </cell>
        </row>
        <row r="3028">
          <cell r="C3028">
            <v>44419</v>
          </cell>
          <cell r="N3028">
            <v>480</v>
          </cell>
          <cell r="O3028">
            <v>100</v>
          </cell>
          <cell r="AP3028">
            <v>1517</v>
          </cell>
        </row>
        <row r="3029">
          <cell r="C3029">
            <v>44419</v>
          </cell>
          <cell r="N3029">
            <v>480</v>
          </cell>
          <cell r="O3029">
            <v>100</v>
          </cell>
          <cell r="AP3029">
            <v>1169</v>
          </cell>
        </row>
        <row r="3030">
          <cell r="C3030">
            <v>44419</v>
          </cell>
          <cell r="N3030">
            <v>480</v>
          </cell>
          <cell r="O3030">
            <v>100</v>
          </cell>
          <cell r="AP3030">
            <v>1599</v>
          </cell>
        </row>
        <row r="3031">
          <cell r="C3031">
            <v>44419</v>
          </cell>
          <cell r="N3031">
            <v>480</v>
          </cell>
          <cell r="O3031">
            <v>100</v>
          </cell>
          <cell r="AP3031">
            <v>1546</v>
          </cell>
        </row>
        <row r="3032">
          <cell r="C3032">
            <v>44419</v>
          </cell>
          <cell r="N3032">
            <v>480</v>
          </cell>
          <cell r="O3032">
            <v>100</v>
          </cell>
          <cell r="AP3032">
            <v>1192</v>
          </cell>
        </row>
        <row r="3033">
          <cell r="C3033">
            <v>44419</v>
          </cell>
          <cell r="N3033">
            <v>480</v>
          </cell>
          <cell r="O3033">
            <v>100</v>
          </cell>
          <cell r="AP3033">
            <v>1628</v>
          </cell>
        </row>
        <row r="3034">
          <cell r="C3034">
            <v>44419</v>
          </cell>
          <cell r="N3034">
            <v>480</v>
          </cell>
          <cell r="O3034">
            <v>100</v>
          </cell>
          <cell r="AP3034">
            <v>1538</v>
          </cell>
        </row>
        <row r="3035">
          <cell r="C3035">
            <v>44419</v>
          </cell>
          <cell r="N3035">
            <v>480</v>
          </cell>
          <cell r="O3035">
            <v>100</v>
          </cell>
          <cell r="AP3035">
            <v>1188</v>
          </cell>
        </row>
        <row r="3036">
          <cell r="C3036">
            <v>44419</v>
          </cell>
          <cell r="N3036">
            <v>480</v>
          </cell>
          <cell r="O3036">
            <v>100</v>
          </cell>
          <cell r="AP3036">
            <v>1616</v>
          </cell>
        </row>
        <row r="3037">
          <cell r="C3037">
            <v>44419</v>
          </cell>
          <cell r="N3037">
            <v>480</v>
          </cell>
          <cell r="O3037">
            <v>100</v>
          </cell>
          <cell r="AP3037">
            <v>1490</v>
          </cell>
        </row>
        <row r="3038">
          <cell r="C3038">
            <v>44419</v>
          </cell>
          <cell r="N3038">
            <v>480</v>
          </cell>
          <cell r="O3038">
            <v>100</v>
          </cell>
          <cell r="AP3038">
            <v>1059</v>
          </cell>
        </row>
        <row r="3039">
          <cell r="C3039">
            <v>44419</v>
          </cell>
          <cell r="N3039">
            <v>480</v>
          </cell>
          <cell r="O3039">
            <v>100</v>
          </cell>
          <cell r="AP3039">
            <v>1658</v>
          </cell>
        </row>
        <row r="3040">
          <cell r="C3040">
            <v>44419</v>
          </cell>
          <cell r="N3040">
            <v>480</v>
          </cell>
          <cell r="O3040">
            <v>100</v>
          </cell>
          <cell r="AP3040">
            <v>1524</v>
          </cell>
        </row>
        <row r="3041">
          <cell r="C3041">
            <v>44419</v>
          </cell>
          <cell r="N3041">
            <v>480</v>
          </cell>
          <cell r="O3041">
            <v>100</v>
          </cell>
          <cell r="AP3041">
            <v>1083</v>
          </cell>
        </row>
        <row r="3042">
          <cell r="C3042">
            <v>44419</v>
          </cell>
          <cell r="N3042">
            <v>480</v>
          </cell>
          <cell r="O3042">
            <v>100</v>
          </cell>
          <cell r="AP3042">
            <v>1697</v>
          </cell>
        </row>
        <row r="3043">
          <cell r="C3043">
            <v>44419</v>
          </cell>
          <cell r="N3043">
            <v>480</v>
          </cell>
          <cell r="O3043">
            <v>100</v>
          </cell>
          <cell r="AP3043">
            <v>1486</v>
          </cell>
        </row>
        <row r="3044">
          <cell r="C3044">
            <v>44419</v>
          </cell>
          <cell r="N3044">
            <v>480</v>
          </cell>
          <cell r="O3044">
            <v>100</v>
          </cell>
          <cell r="AP3044">
            <v>1055</v>
          </cell>
        </row>
        <row r="3045">
          <cell r="C3045">
            <v>44419</v>
          </cell>
          <cell r="N3045">
            <v>480</v>
          </cell>
          <cell r="O3045">
            <v>100</v>
          </cell>
          <cell r="AP3045">
            <v>1653</v>
          </cell>
        </row>
        <row r="3046">
          <cell r="C3046">
            <v>44419</v>
          </cell>
          <cell r="N3046">
            <v>480</v>
          </cell>
          <cell r="O3046">
            <v>100</v>
          </cell>
          <cell r="AP3046">
            <v>1509</v>
          </cell>
        </row>
        <row r="3047">
          <cell r="C3047">
            <v>44419</v>
          </cell>
          <cell r="N3047">
            <v>480</v>
          </cell>
          <cell r="O3047">
            <v>100</v>
          </cell>
          <cell r="AP3047">
            <v>1046</v>
          </cell>
        </row>
        <row r="3048">
          <cell r="C3048">
            <v>44419</v>
          </cell>
          <cell r="N3048">
            <v>480</v>
          </cell>
          <cell r="O3048">
            <v>100</v>
          </cell>
          <cell r="AP3048">
            <v>1678</v>
          </cell>
        </row>
        <row r="3049">
          <cell r="C3049">
            <v>44419</v>
          </cell>
          <cell r="N3049">
            <v>480</v>
          </cell>
          <cell r="O3049">
            <v>100</v>
          </cell>
          <cell r="AP3049">
            <v>1446</v>
          </cell>
        </row>
        <row r="3050">
          <cell r="C3050">
            <v>44419</v>
          </cell>
          <cell r="N3050">
            <v>480</v>
          </cell>
          <cell r="O3050">
            <v>100</v>
          </cell>
          <cell r="AP3050">
            <v>1025</v>
          </cell>
        </row>
        <row r="3051">
          <cell r="C3051">
            <v>44419</v>
          </cell>
          <cell r="N3051">
            <v>480</v>
          </cell>
          <cell r="O3051">
            <v>100</v>
          </cell>
          <cell r="AP3051">
            <v>1605</v>
          </cell>
        </row>
        <row r="3052">
          <cell r="C3052">
            <v>44419</v>
          </cell>
          <cell r="N3052">
            <v>480</v>
          </cell>
          <cell r="O3052">
            <v>100</v>
          </cell>
          <cell r="AP3052">
            <v>1491</v>
          </cell>
        </row>
        <row r="3053">
          <cell r="C3053">
            <v>44419</v>
          </cell>
          <cell r="N3053">
            <v>480</v>
          </cell>
          <cell r="O3053">
            <v>100</v>
          </cell>
          <cell r="AP3053">
            <v>1060</v>
          </cell>
        </row>
        <row r="3054">
          <cell r="C3054">
            <v>44419</v>
          </cell>
          <cell r="N3054">
            <v>480</v>
          </cell>
          <cell r="O3054">
            <v>100</v>
          </cell>
          <cell r="AP3054">
            <v>1659</v>
          </cell>
        </row>
        <row r="3055">
          <cell r="C3055">
            <v>44419</v>
          </cell>
          <cell r="N3055">
            <v>480</v>
          </cell>
          <cell r="O3055">
            <v>100</v>
          </cell>
          <cell r="AP3055">
            <v>1248</v>
          </cell>
        </row>
        <row r="3056">
          <cell r="C3056">
            <v>44419</v>
          </cell>
          <cell r="N3056">
            <v>480</v>
          </cell>
          <cell r="O3056">
            <v>100</v>
          </cell>
          <cell r="AP3056">
            <v>1793</v>
          </cell>
        </row>
        <row r="3057">
          <cell r="C3057">
            <v>44419</v>
          </cell>
          <cell r="N3057">
            <v>480</v>
          </cell>
          <cell r="O3057">
            <v>100</v>
          </cell>
          <cell r="AP3057">
            <v>1241</v>
          </cell>
        </row>
        <row r="3058">
          <cell r="C3058">
            <v>44419</v>
          </cell>
          <cell r="N3058">
            <v>480</v>
          </cell>
          <cell r="O3058">
            <v>100</v>
          </cell>
          <cell r="AP3058">
            <v>1239</v>
          </cell>
        </row>
        <row r="3059">
          <cell r="C3059">
            <v>44419</v>
          </cell>
          <cell r="N3059">
            <v>480</v>
          </cell>
          <cell r="O3059">
            <v>100</v>
          </cell>
          <cell r="AP3059">
            <v>1781</v>
          </cell>
        </row>
        <row r="3060">
          <cell r="C3060">
            <v>44419</v>
          </cell>
          <cell r="N3060">
            <v>480</v>
          </cell>
          <cell r="O3060">
            <v>100</v>
          </cell>
          <cell r="AP3060">
            <v>1232</v>
          </cell>
        </row>
        <row r="3061">
          <cell r="C3061">
            <v>44419</v>
          </cell>
          <cell r="N3061">
            <v>480</v>
          </cell>
          <cell r="O3061">
            <v>100</v>
          </cell>
          <cell r="AP3061">
            <v>1231</v>
          </cell>
        </row>
        <row r="3062">
          <cell r="C3062">
            <v>44419</v>
          </cell>
          <cell r="N3062">
            <v>480</v>
          </cell>
          <cell r="O3062">
            <v>100</v>
          </cell>
          <cell r="AP3062">
            <v>1769</v>
          </cell>
        </row>
        <row r="3063">
          <cell r="C3063">
            <v>44419</v>
          </cell>
          <cell r="N3063">
            <v>480</v>
          </cell>
          <cell r="O3063">
            <v>100</v>
          </cell>
          <cell r="AP3063">
            <v>1223</v>
          </cell>
        </row>
        <row r="3064">
          <cell r="C3064">
            <v>44419</v>
          </cell>
          <cell r="N3064">
            <v>480</v>
          </cell>
          <cell r="O3064">
            <v>100</v>
          </cell>
          <cell r="AP3064">
            <v>1183</v>
          </cell>
        </row>
        <row r="3065">
          <cell r="C3065">
            <v>44419</v>
          </cell>
          <cell r="N3065">
            <v>480</v>
          </cell>
          <cell r="O3065">
            <v>100</v>
          </cell>
          <cell r="AP3065">
            <v>1695</v>
          </cell>
        </row>
        <row r="3066">
          <cell r="C3066">
            <v>44419</v>
          </cell>
          <cell r="N3066">
            <v>480</v>
          </cell>
          <cell r="O3066">
            <v>100</v>
          </cell>
          <cell r="AP3066">
            <v>1171</v>
          </cell>
        </row>
        <row r="3067">
          <cell r="C3067">
            <v>44419</v>
          </cell>
          <cell r="N3067">
            <v>480</v>
          </cell>
          <cell r="O3067">
            <v>100</v>
          </cell>
          <cell r="AP3067">
            <v>1191</v>
          </cell>
        </row>
        <row r="3068">
          <cell r="C3068">
            <v>44419</v>
          </cell>
          <cell r="N3068">
            <v>480</v>
          </cell>
          <cell r="O3068">
            <v>100</v>
          </cell>
          <cell r="AP3068">
            <v>1708</v>
          </cell>
        </row>
        <row r="3069">
          <cell r="C3069">
            <v>44419</v>
          </cell>
          <cell r="N3069">
            <v>480</v>
          </cell>
          <cell r="O3069">
            <v>100</v>
          </cell>
          <cell r="AP3069">
            <v>1182</v>
          </cell>
        </row>
        <row r="3070">
          <cell r="C3070">
            <v>44419</v>
          </cell>
          <cell r="N3070">
            <v>480</v>
          </cell>
          <cell r="O3070">
            <v>100</v>
          </cell>
          <cell r="AP3070">
            <v>1191</v>
          </cell>
        </row>
        <row r="3071">
          <cell r="C3071">
            <v>44419</v>
          </cell>
          <cell r="N3071">
            <v>480</v>
          </cell>
          <cell r="O3071">
            <v>100</v>
          </cell>
          <cell r="AP3071">
            <v>1710</v>
          </cell>
        </row>
        <row r="3072">
          <cell r="C3072">
            <v>44419</v>
          </cell>
          <cell r="N3072">
            <v>480</v>
          </cell>
          <cell r="O3072">
            <v>100</v>
          </cell>
          <cell r="AP3072">
            <v>1181</v>
          </cell>
        </row>
        <row r="3073">
          <cell r="C3073">
            <v>44419</v>
          </cell>
          <cell r="N3073">
            <v>480</v>
          </cell>
          <cell r="O3073">
            <v>100</v>
          </cell>
          <cell r="AP3073">
            <v>1317</v>
          </cell>
        </row>
        <row r="3074">
          <cell r="C3074">
            <v>44419</v>
          </cell>
          <cell r="N3074">
            <v>480</v>
          </cell>
          <cell r="O3074">
            <v>100</v>
          </cell>
          <cell r="AP3074">
            <v>1853</v>
          </cell>
        </row>
        <row r="3075">
          <cell r="C3075">
            <v>44419</v>
          </cell>
          <cell r="N3075">
            <v>480</v>
          </cell>
          <cell r="O3075">
            <v>100</v>
          </cell>
          <cell r="AP3075">
            <v>1045</v>
          </cell>
        </row>
        <row r="3076">
          <cell r="C3076">
            <v>44419</v>
          </cell>
          <cell r="N3076">
            <v>480</v>
          </cell>
          <cell r="O3076">
            <v>100</v>
          </cell>
          <cell r="AP3076">
            <v>1333</v>
          </cell>
        </row>
        <row r="3077">
          <cell r="C3077">
            <v>44419</v>
          </cell>
          <cell r="N3077">
            <v>480</v>
          </cell>
          <cell r="O3077">
            <v>100</v>
          </cell>
          <cell r="AP3077">
            <v>1875</v>
          </cell>
        </row>
        <row r="3078">
          <cell r="C3078">
            <v>44419</v>
          </cell>
          <cell r="N3078">
            <v>480</v>
          </cell>
          <cell r="O3078">
            <v>100</v>
          </cell>
          <cell r="AP3078">
            <v>1057</v>
          </cell>
        </row>
        <row r="3079">
          <cell r="C3079">
            <v>44419</v>
          </cell>
          <cell r="N3079">
            <v>480</v>
          </cell>
          <cell r="O3079">
            <v>100</v>
          </cell>
          <cell r="AP3079">
            <v>1267</v>
          </cell>
        </row>
        <row r="3080">
          <cell r="C3080">
            <v>44419</v>
          </cell>
          <cell r="N3080">
            <v>480</v>
          </cell>
          <cell r="O3080">
            <v>100</v>
          </cell>
          <cell r="AP3080">
            <v>1785</v>
          </cell>
        </row>
        <row r="3081">
          <cell r="C3081">
            <v>44419</v>
          </cell>
          <cell r="N3081">
            <v>480</v>
          </cell>
          <cell r="O3081">
            <v>100</v>
          </cell>
          <cell r="AP3081">
            <v>1006</v>
          </cell>
        </row>
        <row r="3082">
          <cell r="C3082">
            <v>44419</v>
          </cell>
          <cell r="N3082">
            <v>480</v>
          </cell>
          <cell r="O3082">
            <v>100</v>
          </cell>
          <cell r="AP3082">
            <v>1327</v>
          </cell>
        </row>
        <row r="3083">
          <cell r="C3083">
            <v>44419</v>
          </cell>
          <cell r="N3083">
            <v>480</v>
          </cell>
          <cell r="O3083">
            <v>100</v>
          </cell>
          <cell r="AP3083">
            <v>1869</v>
          </cell>
        </row>
        <row r="3084">
          <cell r="C3084">
            <v>44419</v>
          </cell>
          <cell r="N3084">
            <v>480</v>
          </cell>
          <cell r="O3084">
            <v>100</v>
          </cell>
          <cell r="AP3084">
            <v>1052</v>
          </cell>
        </row>
        <row r="3085">
          <cell r="C3085">
            <v>44419</v>
          </cell>
          <cell r="N3085">
            <v>480</v>
          </cell>
          <cell r="O3085">
            <v>100</v>
          </cell>
          <cell r="AP3085">
            <v>1325</v>
          </cell>
        </row>
        <row r="3086">
          <cell r="C3086">
            <v>44419</v>
          </cell>
          <cell r="N3086">
            <v>480</v>
          </cell>
          <cell r="O3086">
            <v>100</v>
          </cell>
          <cell r="AP3086">
            <v>1864</v>
          </cell>
        </row>
        <row r="3087">
          <cell r="C3087">
            <v>44419</v>
          </cell>
          <cell r="N3087">
            <v>480</v>
          </cell>
          <cell r="O3087">
            <v>100</v>
          </cell>
          <cell r="AP3087">
            <v>1051</v>
          </cell>
        </row>
        <row r="3088">
          <cell r="C3088">
            <v>44419</v>
          </cell>
          <cell r="N3088">
            <v>480</v>
          </cell>
          <cell r="O3088">
            <v>100</v>
          </cell>
          <cell r="AP3088">
            <v>0</v>
          </cell>
        </row>
        <row r="3089">
          <cell r="C3089">
            <v>44419</v>
          </cell>
          <cell r="N3089">
            <v>480</v>
          </cell>
          <cell r="O3089">
            <v>100</v>
          </cell>
          <cell r="AP3089">
            <v>0</v>
          </cell>
        </row>
        <row r="3090">
          <cell r="C3090">
            <v>44419</v>
          </cell>
          <cell r="N3090">
            <v>480</v>
          </cell>
          <cell r="O3090">
            <v>100</v>
          </cell>
          <cell r="AP3090">
            <v>0</v>
          </cell>
        </row>
        <row r="3091">
          <cell r="C3091">
            <v>44419</v>
          </cell>
          <cell r="N3091">
            <v>480</v>
          </cell>
          <cell r="O3091">
            <v>100</v>
          </cell>
          <cell r="AP3091">
            <v>0</v>
          </cell>
        </row>
        <row r="3092">
          <cell r="C3092">
            <v>44419</v>
          </cell>
          <cell r="N3092">
            <v>480</v>
          </cell>
          <cell r="O3092">
            <v>100</v>
          </cell>
          <cell r="AP3092">
            <v>0</v>
          </cell>
        </row>
        <row r="3093">
          <cell r="C3093">
            <v>44419</v>
          </cell>
          <cell r="N3093">
            <v>480</v>
          </cell>
          <cell r="O3093">
            <v>100</v>
          </cell>
          <cell r="AP3093">
            <v>0</v>
          </cell>
        </row>
        <row r="3094">
          <cell r="C3094">
            <v>44419</v>
          </cell>
          <cell r="N3094">
            <v>0</v>
          </cell>
          <cell r="O3094">
            <v>100</v>
          </cell>
          <cell r="AP3094">
            <v>0</v>
          </cell>
        </row>
        <row r="3095">
          <cell r="C3095">
            <v>44419</v>
          </cell>
          <cell r="N3095">
            <v>0</v>
          </cell>
          <cell r="O3095">
            <v>100</v>
          </cell>
          <cell r="AP3095">
            <v>0</v>
          </cell>
        </row>
        <row r="3096">
          <cell r="C3096">
            <v>44419</v>
          </cell>
          <cell r="N3096">
            <v>0</v>
          </cell>
          <cell r="O3096">
            <v>100</v>
          </cell>
          <cell r="AP3096">
            <v>0</v>
          </cell>
        </row>
        <row r="3097">
          <cell r="C3097">
            <v>44419</v>
          </cell>
          <cell r="N3097">
            <v>0</v>
          </cell>
          <cell r="O3097">
            <v>100</v>
          </cell>
          <cell r="AP3097">
            <v>0</v>
          </cell>
        </row>
        <row r="3098">
          <cell r="C3098">
            <v>44419</v>
          </cell>
          <cell r="N3098">
            <v>0</v>
          </cell>
          <cell r="O3098">
            <v>100</v>
          </cell>
          <cell r="AP3098">
            <v>0</v>
          </cell>
        </row>
        <row r="3099">
          <cell r="C3099">
            <v>44419</v>
          </cell>
          <cell r="N3099">
            <v>0</v>
          </cell>
          <cell r="O3099">
            <v>100</v>
          </cell>
          <cell r="AP3099">
            <v>0</v>
          </cell>
        </row>
        <row r="3100">
          <cell r="C3100">
            <v>44419</v>
          </cell>
          <cell r="N3100">
            <v>0</v>
          </cell>
          <cell r="O3100">
            <v>100</v>
          </cell>
          <cell r="AP3100">
            <v>0</v>
          </cell>
        </row>
        <row r="3101">
          <cell r="C3101">
            <v>44419</v>
          </cell>
          <cell r="N3101">
            <v>0</v>
          </cell>
          <cell r="O3101">
            <v>100</v>
          </cell>
          <cell r="AP3101">
            <v>0</v>
          </cell>
        </row>
        <row r="3102">
          <cell r="C3102">
            <v>44419</v>
          </cell>
          <cell r="N3102">
            <v>0</v>
          </cell>
          <cell r="O3102">
            <v>100</v>
          </cell>
          <cell r="AP3102">
            <v>0</v>
          </cell>
        </row>
        <row r="3103">
          <cell r="C3103">
            <v>44419</v>
          </cell>
          <cell r="N3103">
            <v>0</v>
          </cell>
          <cell r="O3103">
            <v>100</v>
          </cell>
          <cell r="AP3103">
            <v>0</v>
          </cell>
        </row>
        <row r="3104">
          <cell r="C3104">
            <v>44419</v>
          </cell>
          <cell r="N3104">
            <v>0</v>
          </cell>
          <cell r="O3104">
            <v>100</v>
          </cell>
          <cell r="AP3104">
            <v>0</v>
          </cell>
        </row>
        <row r="3105">
          <cell r="C3105">
            <v>44419</v>
          </cell>
          <cell r="N3105">
            <v>0</v>
          </cell>
          <cell r="O3105">
            <v>100</v>
          </cell>
          <cell r="AP3105">
            <v>0</v>
          </cell>
        </row>
        <row r="3106">
          <cell r="C3106">
            <v>44419</v>
          </cell>
          <cell r="N3106">
            <v>0</v>
          </cell>
          <cell r="O3106">
            <v>100</v>
          </cell>
          <cell r="AP3106">
            <v>0</v>
          </cell>
        </row>
        <row r="3107">
          <cell r="C3107">
            <v>44419</v>
          </cell>
          <cell r="N3107">
            <v>0</v>
          </cell>
          <cell r="O3107">
            <v>100</v>
          </cell>
          <cell r="AP3107">
            <v>0</v>
          </cell>
        </row>
        <row r="3108">
          <cell r="C3108">
            <v>44419</v>
          </cell>
          <cell r="N3108">
            <v>0</v>
          </cell>
          <cell r="O3108">
            <v>100</v>
          </cell>
          <cell r="AP3108">
            <v>0</v>
          </cell>
        </row>
        <row r="3109">
          <cell r="C3109">
            <v>44419</v>
          </cell>
          <cell r="N3109">
            <v>0</v>
          </cell>
          <cell r="O3109">
            <v>100</v>
          </cell>
          <cell r="AP3109">
            <v>0</v>
          </cell>
        </row>
        <row r="3110">
          <cell r="C3110">
            <v>44419</v>
          </cell>
          <cell r="N3110">
            <v>0</v>
          </cell>
          <cell r="O3110">
            <v>100</v>
          </cell>
          <cell r="AP3110">
            <v>0</v>
          </cell>
        </row>
        <row r="3111">
          <cell r="C3111">
            <v>44419</v>
          </cell>
          <cell r="N3111">
            <v>0</v>
          </cell>
          <cell r="O3111">
            <v>100</v>
          </cell>
          <cell r="AP3111">
            <v>0</v>
          </cell>
        </row>
        <row r="3112">
          <cell r="C3112">
            <v>44419</v>
          </cell>
          <cell r="N3112">
            <v>0</v>
          </cell>
          <cell r="O3112">
            <v>100</v>
          </cell>
          <cell r="AP3112">
            <v>0</v>
          </cell>
        </row>
        <row r="3113">
          <cell r="C3113">
            <v>44419</v>
          </cell>
          <cell r="N3113">
            <v>0</v>
          </cell>
          <cell r="O3113">
            <v>100</v>
          </cell>
          <cell r="AP3113">
            <v>0</v>
          </cell>
        </row>
        <row r="3114">
          <cell r="C3114">
            <v>44419</v>
          </cell>
          <cell r="N3114">
            <v>0</v>
          </cell>
          <cell r="O3114">
            <v>100</v>
          </cell>
          <cell r="AP3114">
            <v>0</v>
          </cell>
        </row>
        <row r="3115">
          <cell r="C3115">
            <v>44419</v>
          </cell>
          <cell r="N3115">
            <v>0</v>
          </cell>
          <cell r="O3115">
            <v>100</v>
          </cell>
          <cell r="AP3115">
            <v>0</v>
          </cell>
        </row>
        <row r="3116">
          <cell r="C3116">
            <v>44419</v>
          </cell>
          <cell r="N3116">
            <v>0</v>
          </cell>
          <cell r="O3116">
            <v>100</v>
          </cell>
          <cell r="AP3116">
            <v>0</v>
          </cell>
        </row>
        <row r="3117">
          <cell r="C3117">
            <v>44419</v>
          </cell>
          <cell r="N3117">
            <v>0</v>
          </cell>
          <cell r="O3117">
            <v>100</v>
          </cell>
          <cell r="AP3117">
            <v>0</v>
          </cell>
        </row>
        <row r="3118">
          <cell r="C3118">
            <v>44419</v>
          </cell>
          <cell r="N3118">
            <v>0</v>
          </cell>
          <cell r="O3118">
            <v>100</v>
          </cell>
          <cell r="AP3118">
            <v>0</v>
          </cell>
        </row>
        <row r="3119">
          <cell r="C3119">
            <v>44419</v>
          </cell>
          <cell r="N3119">
            <v>0</v>
          </cell>
          <cell r="O3119">
            <v>100</v>
          </cell>
          <cell r="AP3119">
            <v>0</v>
          </cell>
        </row>
        <row r="3120">
          <cell r="C3120">
            <v>44419</v>
          </cell>
          <cell r="N3120">
            <v>0</v>
          </cell>
          <cell r="O3120">
            <v>0</v>
          </cell>
          <cell r="AP3120">
            <v>0</v>
          </cell>
        </row>
        <row r="3121">
          <cell r="C3121">
            <v>44419</v>
          </cell>
          <cell r="N3121">
            <v>0</v>
          </cell>
          <cell r="O3121">
            <v>0</v>
          </cell>
          <cell r="AP3121">
            <v>0</v>
          </cell>
        </row>
        <row r="3122">
          <cell r="C3122">
            <v>44419</v>
          </cell>
          <cell r="N3122">
            <v>0</v>
          </cell>
          <cell r="O3122">
            <v>0</v>
          </cell>
          <cell r="AP3122">
            <v>0</v>
          </cell>
        </row>
        <row r="3123">
          <cell r="C3123">
            <v>44419</v>
          </cell>
          <cell r="N3123">
            <v>0</v>
          </cell>
          <cell r="O3123">
            <v>0</v>
          </cell>
          <cell r="AP3123">
            <v>0</v>
          </cell>
        </row>
        <row r="3124">
          <cell r="C3124">
            <v>0</v>
          </cell>
          <cell r="N3124">
            <v>0</v>
          </cell>
          <cell r="O3124">
            <v>0</v>
          </cell>
          <cell r="AP3124">
            <v>0</v>
          </cell>
        </row>
        <row r="3125">
          <cell r="C3125">
            <v>0</v>
          </cell>
          <cell r="N3125">
            <v>0</v>
          </cell>
          <cell r="O3125">
            <v>0</v>
          </cell>
          <cell r="AP3125">
            <v>0</v>
          </cell>
        </row>
        <row r="3126">
          <cell r="C3126">
            <v>0</v>
          </cell>
          <cell r="N3126">
            <v>0</v>
          </cell>
          <cell r="O3126">
            <v>0</v>
          </cell>
          <cell r="AP3126">
            <v>0</v>
          </cell>
        </row>
        <row r="3127">
          <cell r="C3127">
            <v>0</v>
          </cell>
          <cell r="N3127">
            <v>0</v>
          </cell>
          <cell r="O3127">
            <v>0</v>
          </cell>
          <cell r="AP3127">
            <v>0</v>
          </cell>
        </row>
        <row r="3128">
          <cell r="C3128">
            <v>0</v>
          </cell>
          <cell r="N3128">
            <v>0</v>
          </cell>
          <cell r="O3128">
            <v>0</v>
          </cell>
          <cell r="AP3128">
            <v>0</v>
          </cell>
        </row>
        <row r="3129">
          <cell r="C3129">
            <v>0</v>
          </cell>
          <cell r="N3129">
            <v>0</v>
          </cell>
          <cell r="O3129">
            <v>0</v>
          </cell>
          <cell r="AP3129">
            <v>0</v>
          </cell>
        </row>
        <row r="3130">
          <cell r="C3130">
            <v>0</v>
          </cell>
          <cell r="N3130">
            <v>0</v>
          </cell>
          <cell r="O3130">
            <v>0</v>
          </cell>
          <cell r="AP3130">
            <v>0</v>
          </cell>
        </row>
        <row r="3131">
          <cell r="C3131">
            <v>0</v>
          </cell>
          <cell r="N3131">
            <v>0</v>
          </cell>
          <cell r="O3131">
            <v>0</v>
          </cell>
          <cell r="AP3131">
            <v>0</v>
          </cell>
        </row>
        <row r="3132">
          <cell r="C3132">
            <v>0</v>
          </cell>
          <cell r="N3132">
            <v>0</v>
          </cell>
          <cell r="O3132">
            <v>0</v>
          </cell>
          <cell r="AP3132">
            <v>0</v>
          </cell>
        </row>
        <row r="3133">
          <cell r="C3133">
            <v>0</v>
          </cell>
          <cell r="N3133">
            <v>0</v>
          </cell>
          <cell r="O3133">
            <v>0</v>
          </cell>
          <cell r="AP3133">
            <v>0</v>
          </cell>
        </row>
        <row r="3134">
          <cell r="C3134">
            <v>0</v>
          </cell>
          <cell r="N3134">
            <v>0</v>
          </cell>
          <cell r="O3134">
            <v>0</v>
          </cell>
          <cell r="AP3134">
            <v>0</v>
          </cell>
        </row>
        <row r="3135">
          <cell r="C3135">
            <v>0</v>
          </cell>
          <cell r="N3135">
            <v>0</v>
          </cell>
          <cell r="O3135">
            <v>0</v>
          </cell>
          <cell r="AP3135">
            <v>0</v>
          </cell>
        </row>
        <row r="3136">
          <cell r="C3136">
            <v>0</v>
          </cell>
          <cell r="N3136">
            <v>0</v>
          </cell>
          <cell r="O3136">
            <v>0</v>
          </cell>
          <cell r="AP3136">
            <v>0</v>
          </cell>
        </row>
        <row r="3137">
          <cell r="C3137">
            <v>0</v>
          </cell>
          <cell r="N3137">
            <v>0</v>
          </cell>
          <cell r="O3137">
            <v>0</v>
          </cell>
          <cell r="AP3137">
            <v>0</v>
          </cell>
        </row>
        <row r="3138">
          <cell r="C3138">
            <v>0</v>
          </cell>
          <cell r="N3138">
            <v>0</v>
          </cell>
          <cell r="O3138">
            <v>0</v>
          </cell>
          <cell r="AP3138">
            <v>0</v>
          </cell>
        </row>
        <row r="3139">
          <cell r="C3139">
            <v>0</v>
          </cell>
          <cell r="N3139">
            <v>0</v>
          </cell>
          <cell r="O3139">
            <v>0</v>
          </cell>
          <cell r="AP3139">
            <v>0</v>
          </cell>
        </row>
        <row r="3140">
          <cell r="C3140">
            <v>0</v>
          </cell>
          <cell r="N3140">
            <v>0</v>
          </cell>
          <cell r="O3140">
            <v>0</v>
          </cell>
          <cell r="AP3140">
            <v>0</v>
          </cell>
        </row>
        <row r="3141">
          <cell r="C3141">
            <v>0</v>
          </cell>
          <cell r="N3141">
            <v>0</v>
          </cell>
          <cell r="O3141">
            <v>0</v>
          </cell>
          <cell r="AP3141">
            <v>0</v>
          </cell>
        </row>
        <row r="3142">
          <cell r="C3142">
            <v>0</v>
          </cell>
          <cell r="N3142">
            <v>0</v>
          </cell>
          <cell r="O3142">
            <v>0</v>
          </cell>
          <cell r="AP3142">
            <v>0</v>
          </cell>
        </row>
        <row r="3143">
          <cell r="C3143">
            <v>0</v>
          </cell>
          <cell r="N3143">
            <v>0</v>
          </cell>
          <cell r="O3143">
            <v>0</v>
          </cell>
          <cell r="AP3143">
            <v>0</v>
          </cell>
        </row>
        <row r="3144">
          <cell r="C3144">
            <v>0</v>
          </cell>
          <cell r="N3144">
            <v>0</v>
          </cell>
          <cell r="O3144">
            <v>0</v>
          </cell>
          <cell r="AP3144">
            <v>0</v>
          </cell>
        </row>
        <row r="3145">
          <cell r="C3145">
            <v>0</v>
          </cell>
          <cell r="N3145">
            <v>0</v>
          </cell>
          <cell r="O3145">
            <v>0</v>
          </cell>
          <cell r="AP3145">
            <v>0</v>
          </cell>
        </row>
        <row r="3146">
          <cell r="C3146">
            <v>0</v>
          </cell>
          <cell r="N3146">
            <v>0</v>
          </cell>
          <cell r="O3146">
            <v>0</v>
          </cell>
          <cell r="AP3146">
            <v>0</v>
          </cell>
        </row>
        <row r="3147">
          <cell r="C3147">
            <v>0</v>
          </cell>
          <cell r="N3147">
            <v>0</v>
          </cell>
          <cell r="O3147">
            <v>0</v>
          </cell>
          <cell r="AP3147">
            <v>0</v>
          </cell>
        </row>
        <row r="3148">
          <cell r="C3148">
            <v>0</v>
          </cell>
          <cell r="N3148">
            <v>0</v>
          </cell>
          <cell r="O3148">
            <v>0</v>
          </cell>
          <cell r="AP3148">
            <v>0</v>
          </cell>
        </row>
        <row r="3149">
          <cell r="C3149">
            <v>0</v>
          </cell>
          <cell r="N3149">
            <v>0</v>
          </cell>
          <cell r="O3149">
            <v>0</v>
          </cell>
          <cell r="AP3149">
            <v>0</v>
          </cell>
        </row>
        <row r="3150">
          <cell r="C3150">
            <v>0</v>
          </cell>
          <cell r="N3150">
            <v>0</v>
          </cell>
          <cell r="O3150">
            <v>0</v>
          </cell>
          <cell r="AP3150">
            <v>0</v>
          </cell>
        </row>
        <row r="3151">
          <cell r="C3151">
            <v>0</v>
          </cell>
          <cell r="N3151">
            <v>0</v>
          </cell>
          <cell r="O3151">
            <v>0</v>
          </cell>
          <cell r="AP3151">
            <v>0</v>
          </cell>
        </row>
        <row r="3152">
          <cell r="C3152">
            <v>0</v>
          </cell>
          <cell r="N3152">
            <v>0</v>
          </cell>
          <cell r="O3152">
            <v>0</v>
          </cell>
          <cell r="AP3152">
            <v>0</v>
          </cell>
        </row>
        <row r="3153">
          <cell r="C3153">
            <v>0</v>
          </cell>
          <cell r="N3153">
            <v>0</v>
          </cell>
          <cell r="O3153">
            <v>0</v>
          </cell>
          <cell r="AP3153">
            <v>0</v>
          </cell>
        </row>
        <row r="3154">
          <cell r="C3154">
            <v>0</v>
          </cell>
          <cell r="N3154">
            <v>0</v>
          </cell>
          <cell r="O3154">
            <v>0</v>
          </cell>
          <cell r="AP3154">
            <v>0</v>
          </cell>
        </row>
        <row r="3155">
          <cell r="C3155">
            <v>0</v>
          </cell>
          <cell r="N3155">
            <v>0</v>
          </cell>
          <cell r="O3155">
            <v>0</v>
          </cell>
          <cell r="AP3155">
            <v>0</v>
          </cell>
        </row>
        <row r="3156">
          <cell r="C3156">
            <v>0</v>
          </cell>
          <cell r="N3156">
            <v>0</v>
          </cell>
          <cell r="O3156">
            <v>0</v>
          </cell>
          <cell r="AP3156">
            <v>0</v>
          </cell>
        </row>
        <row r="3157">
          <cell r="C3157">
            <v>0</v>
          </cell>
          <cell r="N3157">
            <v>0</v>
          </cell>
          <cell r="O3157">
            <v>0</v>
          </cell>
          <cell r="AP3157">
            <v>0</v>
          </cell>
        </row>
        <row r="3158">
          <cell r="C3158">
            <v>0</v>
          </cell>
          <cell r="N3158">
            <v>0</v>
          </cell>
          <cell r="O3158">
            <v>0</v>
          </cell>
          <cell r="AP3158">
            <v>0</v>
          </cell>
        </row>
        <row r="3159">
          <cell r="C3159">
            <v>0</v>
          </cell>
          <cell r="N3159">
            <v>0</v>
          </cell>
          <cell r="O3159">
            <v>0</v>
          </cell>
          <cell r="AP3159">
            <v>0</v>
          </cell>
        </row>
        <row r="3160">
          <cell r="C3160">
            <v>0</v>
          </cell>
          <cell r="N3160">
            <v>0</v>
          </cell>
          <cell r="O3160">
            <v>0</v>
          </cell>
          <cell r="AP3160">
            <v>0</v>
          </cell>
        </row>
        <row r="3161">
          <cell r="C3161">
            <v>0</v>
          </cell>
          <cell r="N3161">
            <v>0</v>
          </cell>
          <cell r="O3161">
            <v>0</v>
          </cell>
          <cell r="AP3161">
            <v>0</v>
          </cell>
        </row>
        <row r="3162">
          <cell r="C3162">
            <v>0</v>
          </cell>
          <cell r="N3162">
            <v>0</v>
          </cell>
          <cell r="O3162">
            <v>0</v>
          </cell>
          <cell r="AP3162">
            <v>0</v>
          </cell>
        </row>
        <row r="3163">
          <cell r="C3163">
            <v>0</v>
          </cell>
          <cell r="N3163">
            <v>0</v>
          </cell>
          <cell r="O3163">
            <v>0</v>
          </cell>
          <cell r="AP3163">
            <v>0</v>
          </cell>
        </row>
        <row r="3164">
          <cell r="C3164">
            <v>0</v>
          </cell>
          <cell r="N3164">
            <v>0</v>
          </cell>
          <cell r="O3164">
            <v>0</v>
          </cell>
          <cell r="AP3164">
            <v>0</v>
          </cell>
        </row>
        <row r="3165">
          <cell r="C3165">
            <v>0</v>
          </cell>
          <cell r="N3165">
            <v>0</v>
          </cell>
          <cell r="O3165">
            <v>0</v>
          </cell>
          <cell r="AP3165">
            <v>0</v>
          </cell>
        </row>
        <row r="3166">
          <cell r="C3166">
            <v>0</v>
          </cell>
          <cell r="N3166">
            <v>0</v>
          </cell>
          <cell r="O3166">
            <v>0</v>
          </cell>
          <cell r="AP3166">
            <v>0</v>
          </cell>
        </row>
        <row r="3167">
          <cell r="C3167">
            <v>0</v>
          </cell>
          <cell r="N3167">
            <v>0</v>
          </cell>
          <cell r="O3167">
            <v>0</v>
          </cell>
          <cell r="AP3167">
            <v>0</v>
          </cell>
        </row>
        <row r="3168">
          <cell r="C3168">
            <v>0</v>
          </cell>
          <cell r="N3168">
            <v>0</v>
          </cell>
          <cell r="O3168">
            <v>0</v>
          </cell>
          <cell r="AP3168">
            <v>0</v>
          </cell>
        </row>
        <row r="3169">
          <cell r="C3169">
            <v>0</v>
          </cell>
          <cell r="N3169">
            <v>0</v>
          </cell>
          <cell r="O3169">
            <v>0</v>
          </cell>
          <cell r="AP3169">
            <v>0</v>
          </cell>
        </row>
        <row r="3170">
          <cell r="C3170">
            <v>0</v>
          </cell>
          <cell r="N3170">
            <v>0</v>
          </cell>
          <cell r="O3170">
            <v>0</v>
          </cell>
          <cell r="AP3170">
            <v>0</v>
          </cell>
        </row>
        <row r="3171">
          <cell r="C3171">
            <v>0</v>
          </cell>
          <cell r="N3171">
            <v>0</v>
          </cell>
          <cell r="O3171">
            <v>0</v>
          </cell>
          <cell r="AP3171">
            <v>0</v>
          </cell>
        </row>
        <row r="3172">
          <cell r="C3172">
            <v>0</v>
          </cell>
          <cell r="N3172">
            <v>0</v>
          </cell>
          <cell r="O3172">
            <v>0</v>
          </cell>
          <cell r="AP3172">
            <v>0</v>
          </cell>
        </row>
        <row r="3173">
          <cell r="C3173">
            <v>0</v>
          </cell>
          <cell r="N3173">
            <v>0</v>
          </cell>
          <cell r="O3173">
            <v>0</v>
          </cell>
          <cell r="AP3173">
            <v>0</v>
          </cell>
        </row>
        <row r="3174">
          <cell r="C3174">
            <v>0</v>
          </cell>
          <cell r="N3174">
            <v>0</v>
          </cell>
          <cell r="O3174">
            <v>0</v>
          </cell>
          <cell r="AP3174">
            <v>0</v>
          </cell>
        </row>
        <row r="3175">
          <cell r="C3175">
            <v>0</v>
          </cell>
          <cell r="N3175">
            <v>0</v>
          </cell>
          <cell r="O3175">
            <v>0</v>
          </cell>
          <cell r="AP3175">
            <v>0</v>
          </cell>
        </row>
        <row r="3176">
          <cell r="C3176">
            <v>0</v>
          </cell>
          <cell r="N3176">
            <v>0</v>
          </cell>
          <cell r="O3176">
            <v>0</v>
          </cell>
          <cell r="AP3176">
            <v>0</v>
          </cell>
        </row>
        <row r="3177">
          <cell r="C3177">
            <v>0</v>
          </cell>
          <cell r="N3177">
            <v>0</v>
          </cell>
          <cell r="O3177">
            <v>0</v>
          </cell>
          <cell r="AP3177">
            <v>0</v>
          </cell>
        </row>
        <row r="3178">
          <cell r="C3178">
            <v>0</v>
          </cell>
          <cell r="N3178">
            <v>0</v>
          </cell>
          <cell r="O3178">
            <v>0</v>
          </cell>
          <cell r="AP3178">
            <v>0</v>
          </cell>
        </row>
        <row r="3179">
          <cell r="C3179">
            <v>0</v>
          </cell>
          <cell r="N3179">
            <v>0</v>
          </cell>
          <cell r="O3179">
            <v>0</v>
          </cell>
          <cell r="AP3179">
            <v>0</v>
          </cell>
        </row>
        <row r="3180">
          <cell r="C3180">
            <v>0</v>
          </cell>
          <cell r="N3180">
            <v>0</v>
          </cell>
          <cell r="O3180">
            <v>0</v>
          </cell>
          <cell r="AP3180">
            <v>0</v>
          </cell>
        </row>
        <row r="3181">
          <cell r="C3181">
            <v>0</v>
          </cell>
          <cell r="N3181">
            <v>0</v>
          </cell>
          <cell r="O3181">
            <v>0</v>
          </cell>
          <cell r="AP3181">
            <v>0</v>
          </cell>
        </row>
        <row r="3182">
          <cell r="C3182">
            <v>0</v>
          </cell>
          <cell r="N3182">
            <v>0</v>
          </cell>
          <cell r="O3182">
            <v>0</v>
          </cell>
          <cell r="AP3182">
            <v>0</v>
          </cell>
        </row>
        <row r="3183">
          <cell r="C3183">
            <v>0</v>
          </cell>
          <cell r="N3183">
            <v>0</v>
          </cell>
          <cell r="O3183">
            <v>0</v>
          </cell>
          <cell r="AP3183">
            <v>0</v>
          </cell>
        </row>
        <row r="3184">
          <cell r="C3184">
            <v>0</v>
          </cell>
          <cell r="N3184">
            <v>0</v>
          </cell>
          <cell r="O3184">
            <v>0</v>
          </cell>
          <cell r="AP3184">
            <v>0</v>
          </cell>
        </row>
        <row r="3185">
          <cell r="C3185">
            <v>0</v>
          </cell>
          <cell r="N3185">
            <v>0</v>
          </cell>
          <cell r="O3185">
            <v>0</v>
          </cell>
          <cell r="AP3185">
            <v>0</v>
          </cell>
        </row>
        <row r="3186">
          <cell r="C3186">
            <v>0</v>
          </cell>
          <cell r="N3186">
            <v>0</v>
          </cell>
          <cell r="O3186">
            <v>0</v>
          </cell>
          <cell r="AP3186">
            <v>0</v>
          </cell>
        </row>
        <row r="3187">
          <cell r="C3187">
            <v>0</v>
          </cell>
          <cell r="N3187">
            <v>0</v>
          </cell>
          <cell r="O3187">
            <v>0</v>
          </cell>
          <cell r="AP3187">
            <v>0</v>
          </cell>
        </row>
        <row r="3188">
          <cell r="C3188">
            <v>0</v>
          </cell>
          <cell r="N3188">
            <v>0</v>
          </cell>
          <cell r="O3188">
            <v>0</v>
          </cell>
          <cell r="AP3188">
            <v>0</v>
          </cell>
        </row>
        <row r="3189">
          <cell r="C3189">
            <v>0</v>
          </cell>
          <cell r="N3189">
            <v>0</v>
          </cell>
          <cell r="O3189">
            <v>0</v>
          </cell>
          <cell r="AP3189">
            <v>0</v>
          </cell>
        </row>
        <row r="3190">
          <cell r="C3190">
            <v>0</v>
          </cell>
          <cell r="N3190">
            <v>0</v>
          </cell>
          <cell r="O3190">
            <v>0</v>
          </cell>
          <cell r="AP3190">
            <v>0</v>
          </cell>
        </row>
        <row r="3191">
          <cell r="C3191">
            <v>0</v>
          </cell>
          <cell r="N3191">
            <v>0</v>
          </cell>
          <cell r="O3191">
            <v>0</v>
          </cell>
          <cell r="AP3191">
            <v>0</v>
          </cell>
        </row>
        <row r="3192">
          <cell r="C3192">
            <v>0</v>
          </cell>
          <cell r="N3192">
            <v>0</v>
          </cell>
          <cell r="O3192">
            <v>0</v>
          </cell>
          <cell r="AP3192">
            <v>0</v>
          </cell>
        </row>
        <row r="3193">
          <cell r="C3193">
            <v>0</v>
          </cell>
          <cell r="N3193">
            <v>0</v>
          </cell>
          <cell r="O3193">
            <v>0</v>
          </cell>
          <cell r="AP3193">
            <v>0</v>
          </cell>
        </row>
        <row r="3194">
          <cell r="C3194">
            <v>0</v>
          </cell>
          <cell r="N3194">
            <v>0</v>
          </cell>
          <cell r="O3194">
            <v>0</v>
          </cell>
          <cell r="AP3194">
            <v>0</v>
          </cell>
        </row>
        <row r="3195">
          <cell r="C3195">
            <v>0</v>
          </cell>
          <cell r="N3195">
            <v>0</v>
          </cell>
          <cell r="O3195">
            <v>0</v>
          </cell>
          <cell r="AP3195">
            <v>0</v>
          </cell>
        </row>
        <row r="3196">
          <cell r="C3196">
            <v>0</v>
          </cell>
          <cell r="N3196">
            <v>0</v>
          </cell>
          <cell r="O3196">
            <v>0</v>
          </cell>
          <cell r="AP3196">
            <v>0</v>
          </cell>
        </row>
        <row r="3197">
          <cell r="C3197">
            <v>0</v>
          </cell>
          <cell r="N3197">
            <v>0</v>
          </cell>
          <cell r="O3197">
            <v>0</v>
          </cell>
          <cell r="AP3197">
            <v>0</v>
          </cell>
        </row>
        <row r="3198">
          <cell r="C3198">
            <v>0</v>
          </cell>
          <cell r="N3198">
            <v>0</v>
          </cell>
          <cell r="O3198">
            <v>0</v>
          </cell>
          <cell r="AP3198">
            <v>0</v>
          </cell>
        </row>
        <row r="3199">
          <cell r="C3199">
            <v>0</v>
          </cell>
          <cell r="N3199">
            <v>0</v>
          </cell>
          <cell r="O3199">
            <v>0</v>
          </cell>
          <cell r="AP3199">
            <v>0</v>
          </cell>
        </row>
        <row r="3200">
          <cell r="C3200">
            <v>0</v>
          </cell>
          <cell r="N3200">
            <v>0</v>
          </cell>
          <cell r="O3200">
            <v>0</v>
          </cell>
          <cell r="AP3200">
            <v>0</v>
          </cell>
        </row>
        <row r="3201">
          <cell r="C3201">
            <v>0</v>
          </cell>
          <cell r="N3201">
            <v>0</v>
          </cell>
          <cell r="O3201">
            <v>0</v>
          </cell>
          <cell r="AP3201">
            <v>0</v>
          </cell>
        </row>
        <row r="3202">
          <cell r="C3202">
            <v>0</v>
          </cell>
          <cell r="N3202">
            <v>0</v>
          </cell>
          <cell r="O3202">
            <v>0</v>
          </cell>
          <cell r="AP3202">
            <v>0</v>
          </cell>
        </row>
        <row r="3203">
          <cell r="C3203">
            <v>0</v>
          </cell>
          <cell r="N3203">
            <v>0</v>
          </cell>
          <cell r="O3203">
            <v>0</v>
          </cell>
          <cell r="AP3203">
            <v>0</v>
          </cell>
        </row>
        <row r="3204">
          <cell r="C3204">
            <v>0</v>
          </cell>
          <cell r="N3204">
            <v>0</v>
          </cell>
          <cell r="O3204">
            <v>0</v>
          </cell>
          <cell r="AP3204">
            <v>0</v>
          </cell>
        </row>
        <row r="3205">
          <cell r="C3205">
            <v>0</v>
          </cell>
          <cell r="N3205">
            <v>0</v>
          </cell>
          <cell r="O3205">
            <v>0</v>
          </cell>
          <cell r="AP3205">
            <v>0</v>
          </cell>
        </row>
        <row r="3206">
          <cell r="C3206">
            <v>0</v>
          </cell>
          <cell r="N3206">
            <v>0</v>
          </cell>
          <cell r="O3206">
            <v>0</v>
          </cell>
          <cell r="AP3206">
            <v>0</v>
          </cell>
        </row>
        <row r="3207">
          <cell r="C3207">
            <v>0</v>
          </cell>
          <cell r="N3207">
            <v>0</v>
          </cell>
          <cell r="O3207">
            <v>0</v>
          </cell>
          <cell r="AP3207">
            <v>0</v>
          </cell>
        </row>
        <row r="3208">
          <cell r="C3208">
            <v>0</v>
          </cell>
          <cell r="N3208">
            <v>0</v>
          </cell>
          <cell r="O3208">
            <v>0</v>
          </cell>
          <cell r="AP3208">
            <v>0</v>
          </cell>
        </row>
        <row r="3209">
          <cell r="C3209">
            <v>0</v>
          </cell>
          <cell r="N3209">
            <v>0</v>
          </cell>
          <cell r="O3209">
            <v>0</v>
          </cell>
          <cell r="AP3209">
            <v>0</v>
          </cell>
        </row>
        <row r="3210">
          <cell r="C3210">
            <v>0</v>
          </cell>
          <cell r="N3210">
            <v>0</v>
          </cell>
          <cell r="O3210">
            <v>0</v>
          </cell>
          <cell r="AP3210">
            <v>0</v>
          </cell>
        </row>
        <row r="3211">
          <cell r="C3211">
            <v>0</v>
          </cell>
          <cell r="N3211">
            <v>0</v>
          </cell>
          <cell r="O3211">
            <v>0</v>
          </cell>
          <cell r="AP3211">
            <v>0</v>
          </cell>
        </row>
        <row r="3212">
          <cell r="C3212">
            <v>0</v>
          </cell>
          <cell r="N3212">
            <v>0</v>
          </cell>
          <cell r="O3212">
            <v>0</v>
          </cell>
          <cell r="AP3212">
            <v>0</v>
          </cell>
        </row>
        <row r="3213">
          <cell r="C3213">
            <v>0</v>
          </cell>
          <cell r="N3213">
            <v>0</v>
          </cell>
          <cell r="O3213">
            <v>0</v>
          </cell>
          <cell r="AP3213">
            <v>0</v>
          </cell>
        </row>
        <row r="3214">
          <cell r="C3214">
            <v>0</v>
          </cell>
          <cell r="N3214">
            <v>0</v>
          </cell>
          <cell r="O3214">
            <v>0</v>
          </cell>
          <cell r="AP3214">
            <v>0</v>
          </cell>
        </row>
        <row r="3215">
          <cell r="C3215">
            <v>0</v>
          </cell>
          <cell r="N3215">
            <v>0</v>
          </cell>
          <cell r="O3215">
            <v>0</v>
          </cell>
          <cell r="AP3215">
            <v>0</v>
          </cell>
        </row>
        <row r="3216">
          <cell r="C3216">
            <v>0</v>
          </cell>
          <cell r="N3216">
            <v>0</v>
          </cell>
          <cell r="O3216">
            <v>0</v>
          </cell>
          <cell r="AP3216">
            <v>0</v>
          </cell>
        </row>
        <row r="3217">
          <cell r="C3217">
            <v>0</v>
          </cell>
          <cell r="N3217">
            <v>0</v>
          </cell>
          <cell r="O3217">
            <v>0</v>
          </cell>
          <cell r="AP3217">
            <v>0</v>
          </cell>
        </row>
        <row r="3218">
          <cell r="C3218">
            <v>0</v>
          </cell>
          <cell r="N3218">
            <v>0</v>
          </cell>
          <cell r="O3218">
            <v>0</v>
          </cell>
          <cell r="AP3218">
            <v>0</v>
          </cell>
        </row>
        <row r="3219">
          <cell r="C3219">
            <v>0</v>
          </cell>
          <cell r="N3219">
            <v>0</v>
          </cell>
          <cell r="O3219">
            <v>0</v>
          </cell>
          <cell r="AP3219">
            <v>0</v>
          </cell>
        </row>
        <row r="3220">
          <cell r="C3220">
            <v>0</v>
          </cell>
          <cell r="N3220">
            <v>0</v>
          </cell>
          <cell r="O3220">
            <v>0</v>
          </cell>
          <cell r="AP3220">
            <v>0</v>
          </cell>
        </row>
        <row r="3221">
          <cell r="C3221">
            <v>0</v>
          </cell>
          <cell r="N3221">
            <v>0</v>
          </cell>
          <cell r="O3221">
            <v>0</v>
          </cell>
          <cell r="AP3221">
            <v>0</v>
          </cell>
        </row>
        <row r="3222">
          <cell r="C3222">
            <v>0</v>
          </cell>
          <cell r="N3222">
            <v>0</v>
          </cell>
          <cell r="O3222">
            <v>0</v>
          </cell>
          <cell r="AP3222">
            <v>0</v>
          </cell>
        </row>
        <row r="3223">
          <cell r="C3223">
            <v>0</v>
          </cell>
          <cell r="N3223">
            <v>0</v>
          </cell>
          <cell r="O3223">
            <v>0</v>
          </cell>
          <cell r="AP3223">
            <v>0</v>
          </cell>
        </row>
        <row r="3224">
          <cell r="C3224">
            <v>0</v>
          </cell>
          <cell r="N3224">
            <v>0</v>
          </cell>
          <cell r="O3224">
            <v>0</v>
          </cell>
          <cell r="AP3224">
            <v>0</v>
          </cell>
        </row>
        <row r="3225">
          <cell r="C3225">
            <v>0</v>
          </cell>
          <cell r="N3225">
            <v>0</v>
          </cell>
          <cell r="O3225">
            <v>0</v>
          </cell>
          <cell r="AP3225">
            <v>0</v>
          </cell>
        </row>
        <row r="3226">
          <cell r="C3226">
            <v>0</v>
          </cell>
          <cell r="N3226">
            <v>0</v>
          </cell>
          <cell r="O3226">
            <v>0</v>
          </cell>
          <cell r="AP3226">
            <v>0</v>
          </cell>
        </row>
        <row r="3227">
          <cell r="C3227">
            <v>0</v>
          </cell>
          <cell r="N3227">
            <v>0</v>
          </cell>
          <cell r="O3227">
            <v>0</v>
          </cell>
          <cell r="AP3227">
            <v>0</v>
          </cell>
        </row>
        <row r="3228">
          <cell r="C3228">
            <v>0</v>
          </cell>
          <cell r="N3228">
            <v>0</v>
          </cell>
          <cell r="O3228">
            <v>0</v>
          </cell>
          <cell r="AP3228">
            <v>0</v>
          </cell>
        </row>
        <row r="3229">
          <cell r="C3229">
            <v>0</v>
          </cell>
          <cell r="N3229">
            <v>0</v>
          </cell>
          <cell r="O3229">
            <v>0</v>
          </cell>
          <cell r="AP3229">
            <v>0</v>
          </cell>
        </row>
        <row r="3230">
          <cell r="C3230">
            <v>0</v>
          </cell>
          <cell r="N3230">
            <v>0</v>
          </cell>
          <cell r="O3230">
            <v>0</v>
          </cell>
          <cell r="AP3230">
            <v>0</v>
          </cell>
        </row>
        <row r="3231">
          <cell r="C3231">
            <v>0</v>
          </cell>
          <cell r="N3231">
            <v>0</v>
          </cell>
          <cell r="O3231">
            <v>0</v>
          </cell>
          <cell r="AP3231">
            <v>0</v>
          </cell>
        </row>
        <row r="3232">
          <cell r="C3232">
            <v>0</v>
          </cell>
          <cell r="N3232">
            <v>0</v>
          </cell>
          <cell r="O3232">
            <v>0</v>
          </cell>
          <cell r="AP3232">
            <v>0</v>
          </cell>
        </row>
        <row r="3233">
          <cell r="C3233">
            <v>0</v>
          </cell>
          <cell r="N3233">
            <v>0</v>
          </cell>
          <cell r="O3233">
            <v>0</v>
          </cell>
          <cell r="AP3233">
            <v>0</v>
          </cell>
        </row>
        <row r="3234">
          <cell r="C3234">
            <v>0</v>
          </cell>
          <cell r="N3234">
            <v>0</v>
          </cell>
          <cell r="O3234">
            <v>0</v>
          </cell>
          <cell r="AP3234">
            <v>0</v>
          </cell>
        </row>
        <row r="3235">
          <cell r="C3235">
            <v>0</v>
          </cell>
          <cell r="N3235">
            <v>0</v>
          </cell>
          <cell r="O3235">
            <v>0</v>
          </cell>
          <cell r="AP3235">
            <v>0</v>
          </cell>
        </row>
        <row r="3236">
          <cell r="C3236">
            <v>0</v>
          </cell>
          <cell r="N3236">
            <v>0</v>
          </cell>
          <cell r="O3236">
            <v>0</v>
          </cell>
          <cell r="AP3236">
            <v>0</v>
          </cell>
        </row>
        <row r="3237">
          <cell r="C3237">
            <v>0</v>
          </cell>
          <cell r="N3237">
            <v>0</v>
          </cell>
          <cell r="O3237">
            <v>0</v>
          </cell>
          <cell r="AP3237">
            <v>0</v>
          </cell>
        </row>
        <row r="3238">
          <cell r="C3238">
            <v>0</v>
          </cell>
          <cell r="N3238">
            <v>0</v>
          </cell>
          <cell r="O3238">
            <v>0</v>
          </cell>
          <cell r="AP3238">
            <v>0</v>
          </cell>
        </row>
        <row r="3239">
          <cell r="C3239">
            <v>0</v>
          </cell>
          <cell r="N3239">
            <v>0</v>
          </cell>
          <cell r="O3239">
            <v>0</v>
          </cell>
          <cell r="AP3239">
            <v>0</v>
          </cell>
        </row>
        <row r="3240">
          <cell r="C3240">
            <v>0</v>
          </cell>
          <cell r="N3240">
            <v>0</v>
          </cell>
          <cell r="O3240">
            <v>0</v>
          </cell>
          <cell r="AP3240">
            <v>0</v>
          </cell>
        </row>
        <row r="3241">
          <cell r="C3241">
            <v>0</v>
          </cell>
          <cell r="N3241">
            <v>0</v>
          </cell>
          <cell r="O3241">
            <v>0</v>
          </cell>
          <cell r="AP3241">
            <v>0</v>
          </cell>
        </row>
        <row r="3242">
          <cell r="C3242">
            <v>0</v>
          </cell>
          <cell r="N3242">
            <v>0</v>
          </cell>
          <cell r="O3242">
            <v>0</v>
          </cell>
          <cell r="AP3242">
            <v>0</v>
          </cell>
        </row>
        <row r="3243">
          <cell r="C3243">
            <v>0</v>
          </cell>
          <cell r="N3243">
            <v>0</v>
          </cell>
          <cell r="O3243">
            <v>0</v>
          </cell>
          <cell r="AP3243">
            <v>0</v>
          </cell>
        </row>
        <row r="3244">
          <cell r="C3244">
            <v>0</v>
          </cell>
          <cell r="N3244">
            <v>0</v>
          </cell>
          <cell r="O3244">
            <v>0</v>
          </cell>
          <cell r="AP3244">
            <v>0</v>
          </cell>
        </row>
        <row r="3245">
          <cell r="C3245">
            <v>0</v>
          </cell>
          <cell r="N3245">
            <v>0</v>
          </cell>
          <cell r="O3245">
            <v>0</v>
          </cell>
          <cell r="AP3245">
            <v>0</v>
          </cell>
        </row>
        <row r="3246">
          <cell r="C3246">
            <v>0</v>
          </cell>
          <cell r="N3246">
            <v>0</v>
          </cell>
          <cell r="O3246">
            <v>0</v>
          </cell>
          <cell r="AP3246">
            <v>0</v>
          </cell>
        </row>
        <row r="3247">
          <cell r="C3247">
            <v>0</v>
          </cell>
          <cell r="N3247">
            <v>0</v>
          </cell>
          <cell r="O3247">
            <v>0</v>
          </cell>
          <cell r="AP3247">
            <v>0</v>
          </cell>
        </row>
        <row r="3248">
          <cell r="C3248">
            <v>0</v>
          </cell>
          <cell r="N3248">
            <v>0</v>
          </cell>
          <cell r="O3248">
            <v>0</v>
          </cell>
          <cell r="AP3248">
            <v>0</v>
          </cell>
        </row>
        <row r="3249">
          <cell r="C3249">
            <v>0</v>
          </cell>
          <cell r="N3249">
            <v>0</v>
          </cell>
          <cell r="O3249">
            <v>0</v>
          </cell>
          <cell r="AP3249">
            <v>0</v>
          </cell>
        </row>
        <row r="3250">
          <cell r="C3250">
            <v>0</v>
          </cell>
          <cell r="N3250">
            <v>0</v>
          </cell>
          <cell r="O3250">
            <v>0</v>
          </cell>
          <cell r="AP3250">
            <v>0</v>
          </cell>
        </row>
        <row r="3251">
          <cell r="C3251">
            <v>0</v>
          </cell>
          <cell r="N3251">
            <v>0</v>
          </cell>
          <cell r="O3251">
            <v>0</v>
          </cell>
          <cell r="AP3251">
            <v>0</v>
          </cell>
        </row>
        <row r="3252">
          <cell r="C3252">
            <v>0</v>
          </cell>
          <cell r="N3252">
            <v>0</v>
          </cell>
          <cell r="O3252">
            <v>0</v>
          </cell>
          <cell r="AP3252">
            <v>0</v>
          </cell>
        </row>
        <row r="3253">
          <cell r="C3253">
            <v>0</v>
          </cell>
          <cell r="N3253">
            <v>0</v>
          </cell>
          <cell r="O3253">
            <v>0</v>
          </cell>
          <cell r="AP3253">
            <v>0</v>
          </cell>
        </row>
        <row r="3254">
          <cell r="C3254">
            <v>0</v>
          </cell>
          <cell r="N3254">
            <v>0</v>
          </cell>
          <cell r="O3254">
            <v>0</v>
          </cell>
          <cell r="AP3254">
            <v>0</v>
          </cell>
        </row>
        <row r="3255">
          <cell r="C3255">
            <v>0</v>
          </cell>
          <cell r="N3255">
            <v>0</v>
          </cell>
          <cell r="O3255">
            <v>0</v>
          </cell>
          <cell r="AP3255">
            <v>0</v>
          </cell>
        </row>
        <row r="3256">
          <cell r="C3256">
            <v>0</v>
          </cell>
          <cell r="N3256">
            <v>0</v>
          </cell>
          <cell r="O3256">
            <v>0</v>
          </cell>
          <cell r="AP3256">
            <v>0</v>
          </cell>
        </row>
        <row r="3257">
          <cell r="C3257">
            <v>0</v>
          </cell>
          <cell r="N3257">
            <v>0</v>
          </cell>
          <cell r="O3257">
            <v>0</v>
          </cell>
          <cell r="AP3257">
            <v>0</v>
          </cell>
        </row>
        <row r="3258">
          <cell r="C3258">
            <v>0</v>
          </cell>
          <cell r="N3258">
            <v>0</v>
          </cell>
          <cell r="O3258">
            <v>0</v>
          </cell>
          <cell r="AP3258">
            <v>0</v>
          </cell>
        </row>
        <row r="3259">
          <cell r="C3259">
            <v>0</v>
          </cell>
          <cell r="N3259">
            <v>0</v>
          </cell>
          <cell r="O3259">
            <v>0</v>
          </cell>
          <cell r="AP3259">
            <v>0</v>
          </cell>
        </row>
        <row r="3260">
          <cell r="C3260">
            <v>0</v>
          </cell>
          <cell r="N3260">
            <v>0</v>
          </cell>
          <cell r="O3260">
            <v>0</v>
          </cell>
          <cell r="AP3260">
            <v>0</v>
          </cell>
        </row>
        <row r="3261">
          <cell r="C3261">
            <v>0</v>
          </cell>
          <cell r="N3261">
            <v>0</v>
          </cell>
          <cell r="O3261">
            <v>0</v>
          </cell>
          <cell r="AP3261">
            <v>0</v>
          </cell>
        </row>
        <row r="3262">
          <cell r="C3262">
            <v>0</v>
          </cell>
          <cell r="N3262">
            <v>0</v>
          </cell>
          <cell r="O3262">
            <v>0</v>
          </cell>
          <cell r="AP3262">
            <v>0</v>
          </cell>
        </row>
        <row r="3263">
          <cell r="C3263">
            <v>0</v>
          </cell>
          <cell r="N3263">
            <v>0</v>
          </cell>
          <cell r="O3263">
            <v>0</v>
          </cell>
          <cell r="AP3263">
            <v>0</v>
          </cell>
        </row>
        <row r="3264">
          <cell r="C3264">
            <v>0</v>
          </cell>
          <cell r="N3264">
            <v>0</v>
          </cell>
          <cell r="O3264">
            <v>0</v>
          </cell>
          <cell r="AP3264">
            <v>0</v>
          </cell>
        </row>
        <row r="3265">
          <cell r="C3265">
            <v>0</v>
          </cell>
          <cell r="N3265">
            <v>0</v>
          </cell>
          <cell r="O3265">
            <v>0</v>
          </cell>
          <cell r="AP3265">
            <v>0</v>
          </cell>
        </row>
        <row r="3266">
          <cell r="C3266">
            <v>0</v>
          </cell>
          <cell r="N3266">
            <v>0</v>
          </cell>
          <cell r="O3266">
            <v>0</v>
          </cell>
          <cell r="AP3266">
            <v>0</v>
          </cell>
        </row>
        <row r="3267">
          <cell r="C3267">
            <v>0</v>
          </cell>
          <cell r="N3267">
            <v>0</v>
          </cell>
          <cell r="O3267">
            <v>0</v>
          </cell>
          <cell r="AP3267">
            <v>0</v>
          </cell>
        </row>
        <row r="3268">
          <cell r="C3268">
            <v>0</v>
          </cell>
          <cell r="N3268">
            <v>0</v>
          </cell>
          <cell r="O3268">
            <v>0</v>
          </cell>
          <cell r="AP3268">
            <v>0</v>
          </cell>
        </row>
        <row r="3269">
          <cell r="C3269">
            <v>0</v>
          </cell>
          <cell r="N3269">
            <v>0</v>
          </cell>
          <cell r="O3269">
            <v>0</v>
          </cell>
          <cell r="AP3269">
            <v>0</v>
          </cell>
        </row>
        <row r="3270">
          <cell r="C3270">
            <v>0</v>
          </cell>
          <cell r="N3270">
            <v>0</v>
          </cell>
          <cell r="O3270">
            <v>0</v>
          </cell>
          <cell r="AP3270">
            <v>0</v>
          </cell>
        </row>
        <row r="3271">
          <cell r="C3271">
            <v>0</v>
          </cell>
          <cell r="N3271">
            <v>0</v>
          </cell>
          <cell r="O3271">
            <v>0</v>
          </cell>
          <cell r="AP3271">
            <v>0</v>
          </cell>
        </row>
        <row r="3272">
          <cell r="C3272">
            <v>0</v>
          </cell>
          <cell r="N3272">
            <v>0</v>
          </cell>
          <cell r="O3272">
            <v>0</v>
          </cell>
          <cell r="AP3272">
            <v>0</v>
          </cell>
        </row>
        <row r="3273">
          <cell r="C3273">
            <v>0</v>
          </cell>
          <cell r="N3273">
            <v>0</v>
          </cell>
          <cell r="O3273">
            <v>0</v>
          </cell>
          <cell r="AP3273">
            <v>0</v>
          </cell>
        </row>
        <row r="3274">
          <cell r="C3274">
            <v>0</v>
          </cell>
          <cell r="N3274">
            <v>0</v>
          </cell>
          <cell r="O3274">
            <v>0</v>
          </cell>
          <cell r="AP3274">
            <v>0</v>
          </cell>
        </row>
        <row r="3275">
          <cell r="C3275">
            <v>0</v>
          </cell>
          <cell r="N3275">
            <v>0</v>
          </cell>
          <cell r="O3275">
            <v>0</v>
          </cell>
          <cell r="AP3275">
            <v>0</v>
          </cell>
        </row>
        <row r="3276">
          <cell r="C3276">
            <v>0</v>
          </cell>
          <cell r="N3276">
            <v>0</v>
          </cell>
          <cell r="O3276">
            <v>0</v>
          </cell>
          <cell r="AP3276">
            <v>0</v>
          </cell>
        </row>
        <row r="3277">
          <cell r="C3277">
            <v>0</v>
          </cell>
          <cell r="N3277">
            <v>0</v>
          </cell>
          <cell r="O3277">
            <v>0</v>
          </cell>
          <cell r="AP3277">
            <v>0</v>
          </cell>
        </row>
        <row r="3278">
          <cell r="C3278">
            <v>0</v>
          </cell>
          <cell r="N3278">
            <v>0</v>
          </cell>
          <cell r="O3278">
            <v>0</v>
          </cell>
          <cell r="AP3278">
            <v>0</v>
          </cell>
        </row>
        <row r="3279">
          <cell r="C3279">
            <v>0</v>
          </cell>
          <cell r="N3279">
            <v>0</v>
          </cell>
          <cell r="O3279">
            <v>0</v>
          </cell>
          <cell r="AP3279">
            <v>0</v>
          </cell>
        </row>
        <row r="3280">
          <cell r="C3280">
            <v>0</v>
          </cell>
          <cell r="N3280">
            <v>0</v>
          </cell>
          <cell r="O3280">
            <v>0</v>
          </cell>
          <cell r="AP3280">
            <v>0</v>
          </cell>
        </row>
        <row r="3281">
          <cell r="C3281">
            <v>0</v>
          </cell>
          <cell r="N3281">
            <v>0</v>
          </cell>
          <cell r="O3281">
            <v>0</v>
          </cell>
          <cell r="AP3281">
            <v>0</v>
          </cell>
        </row>
        <row r="3282">
          <cell r="C3282">
            <v>0</v>
          </cell>
          <cell r="N3282">
            <v>0</v>
          </cell>
          <cell r="O3282">
            <v>0</v>
          </cell>
          <cell r="AP3282">
            <v>0</v>
          </cell>
        </row>
        <row r="3283">
          <cell r="C3283">
            <v>0</v>
          </cell>
          <cell r="N3283">
            <v>0</v>
          </cell>
          <cell r="O3283">
            <v>0</v>
          </cell>
          <cell r="AP3283">
            <v>0</v>
          </cell>
        </row>
        <row r="3284">
          <cell r="C3284">
            <v>0</v>
          </cell>
          <cell r="N3284">
            <v>0</v>
          </cell>
          <cell r="O3284">
            <v>0</v>
          </cell>
          <cell r="AP3284">
            <v>0</v>
          </cell>
        </row>
        <row r="3285">
          <cell r="C3285">
            <v>0</v>
          </cell>
          <cell r="N3285">
            <v>0</v>
          </cell>
          <cell r="O3285">
            <v>0</v>
          </cell>
          <cell r="AP3285">
            <v>0</v>
          </cell>
        </row>
        <row r="3286">
          <cell r="C3286">
            <v>0</v>
          </cell>
          <cell r="N3286">
            <v>0</v>
          </cell>
          <cell r="O3286">
            <v>0</v>
          </cell>
          <cell r="AP3286">
            <v>0</v>
          </cell>
        </row>
        <row r="3287">
          <cell r="C3287">
            <v>0</v>
          </cell>
          <cell r="N3287">
            <v>0</v>
          </cell>
          <cell r="O3287">
            <v>0</v>
          </cell>
          <cell r="AP3287">
            <v>0</v>
          </cell>
        </row>
        <row r="3288">
          <cell r="C3288">
            <v>0</v>
          </cell>
          <cell r="N3288">
            <v>0</v>
          </cell>
          <cell r="O3288">
            <v>0</v>
          </cell>
          <cell r="AP3288">
            <v>0</v>
          </cell>
        </row>
        <row r="3289">
          <cell r="C3289">
            <v>0</v>
          </cell>
          <cell r="N3289">
            <v>0</v>
          </cell>
          <cell r="O3289">
            <v>0</v>
          </cell>
          <cell r="AP3289">
            <v>0</v>
          </cell>
        </row>
        <row r="3290">
          <cell r="C3290">
            <v>0</v>
          </cell>
          <cell r="N3290">
            <v>0</v>
          </cell>
          <cell r="O3290">
            <v>0</v>
          </cell>
          <cell r="AP3290">
            <v>0</v>
          </cell>
        </row>
        <row r="3291">
          <cell r="C3291">
            <v>0</v>
          </cell>
          <cell r="N3291">
            <v>0</v>
          </cell>
          <cell r="O3291">
            <v>0</v>
          </cell>
          <cell r="AP3291">
            <v>0</v>
          </cell>
        </row>
        <row r="3292">
          <cell r="C3292">
            <v>0</v>
          </cell>
          <cell r="N3292">
            <v>0</v>
          </cell>
          <cell r="O3292">
            <v>0</v>
          </cell>
          <cell r="AP3292">
            <v>0</v>
          </cell>
        </row>
        <row r="3293">
          <cell r="C3293">
            <v>0</v>
          </cell>
          <cell r="N3293">
            <v>0</v>
          </cell>
          <cell r="O3293">
            <v>0</v>
          </cell>
          <cell r="AP3293">
            <v>0</v>
          </cell>
        </row>
        <row r="3294">
          <cell r="C3294">
            <v>0</v>
          </cell>
          <cell r="N3294">
            <v>0</v>
          </cell>
          <cell r="O3294">
            <v>0</v>
          </cell>
          <cell r="AP3294">
            <v>0</v>
          </cell>
        </row>
        <row r="3295">
          <cell r="C3295">
            <v>0</v>
          </cell>
          <cell r="N3295">
            <v>0</v>
          </cell>
          <cell r="O3295">
            <v>0</v>
          </cell>
          <cell r="AP3295">
            <v>0</v>
          </cell>
        </row>
        <row r="3296">
          <cell r="C3296">
            <v>0</v>
          </cell>
          <cell r="N3296">
            <v>0</v>
          </cell>
          <cell r="O3296">
            <v>0</v>
          </cell>
          <cell r="AP3296">
            <v>0</v>
          </cell>
        </row>
        <row r="3297">
          <cell r="C3297">
            <v>0</v>
          </cell>
          <cell r="N3297">
            <v>0</v>
          </cell>
          <cell r="O3297">
            <v>0</v>
          </cell>
          <cell r="AP3297">
            <v>0</v>
          </cell>
        </row>
        <row r="3298">
          <cell r="C3298">
            <v>0</v>
          </cell>
          <cell r="N3298">
            <v>0</v>
          </cell>
          <cell r="O3298">
            <v>0</v>
          </cell>
          <cell r="AP3298">
            <v>0</v>
          </cell>
        </row>
        <row r="3299">
          <cell r="C3299">
            <v>0</v>
          </cell>
          <cell r="N3299">
            <v>0</v>
          </cell>
          <cell r="O3299">
            <v>0</v>
          </cell>
          <cell r="AP3299">
            <v>0</v>
          </cell>
        </row>
        <row r="3300">
          <cell r="C3300">
            <v>0</v>
          </cell>
          <cell r="N3300">
            <v>0</v>
          </cell>
          <cell r="O3300">
            <v>0</v>
          </cell>
          <cell r="AP3300">
            <v>0</v>
          </cell>
        </row>
        <row r="3301">
          <cell r="C3301">
            <v>0</v>
          </cell>
          <cell r="N3301">
            <v>0</v>
          </cell>
          <cell r="O3301">
            <v>0</v>
          </cell>
          <cell r="AP3301">
            <v>0</v>
          </cell>
        </row>
        <row r="3302">
          <cell r="C3302">
            <v>0</v>
          </cell>
          <cell r="N3302">
            <v>0</v>
          </cell>
          <cell r="O3302">
            <v>0</v>
          </cell>
          <cell r="AP3302">
            <v>0</v>
          </cell>
        </row>
        <row r="3303">
          <cell r="C3303">
            <v>0</v>
          </cell>
          <cell r="N3303">
            <v>0</v>
          </cell>
          <cell r="O3303">
            <v>0</v>
          </cell>
          <cell r="AP3303">
            <v>0</v>
          </cell>
        </row>
        <row r="3304">
          <cell r="C3304">
            <v>0</v>
          </cell>
          <cell r="N3304">
            <v>0</v>
          </cell>
          <cell r="O3304">
            <v>0</v>
          </cell>
          <cell r="AP3304">
            <v>0</v>
          </cell>
        </row>
        <row r="3305">
          <cell r="C3305">
            <v>0</v>
          </cell>
          <cell r="N3305">
            <v>0</v>
          </cell>
          <cell r="O3305">
            <v>0</v>
          </cell>
          <cell r="AP3305">
            <v>0</v>
          </cell>
        </row>
        <row r="3306">
          <cell r="C3306">
            <v>0</v>
          </cell>
          <cell r="N3306">
            <v>0</v>
          </cell>
          <cell r="O3306">
            <v>0</v>
          </cell>
          <cell r="AP3306">
            <v>0</v>
          </cell>
        </row>
        <row r="3307">
          <cell r="C3307">
            <v>0</v>
          </cell>
          <cell r="N3307">
            <v>0</v>
          </cell>
          <cell r="O3307">
            <v>0</v>
          </cell>
          <cell r="AP3307">
            <v>0</v>
          </cell>
        </row>
        <row r="3308">
          <cell r="C3308">
            <v>0</v>
          </cell>
          <cell r="N3308">
            <v>0</v>
          </cell>
          <cell r="O3308">
            <v>0</v>
          </cell>
          <cell r="AP3308">
            <v>0</v>
          </cell>
        </row>
        <row r="3309">
          <cell r="C3309">
            <v>0</v>
          </cell>
          <cell r="N3309">
            <v>0</v>
          </cell>
          <cell r="O3309">
            <v>0</v>
          </cell>
          <cell r="AP3309">
            <v>0</v>
          </cell>
        </row>
        <row r="3310">
          <cell r="C3310">
            <v>0</v>
          </cell>
          <cell r="N3310">
            <v>0</v>
          </cell>
          <cell r="O3310">
            <v>0</v>
          </cell>
          <cell r="AP3310">
            <v>0</v>
          </cell>
        </row>
        <row r="3311">
          <cell r="C3311">
            <v>0</v>
          </cell>
          <cell r="N3311">
            <v>0</v>
          </cell>
          <cell r="O3311">
            <v>0</v>
          </cell>
          <cell r="AP3311">
            <v>0</v>
          </cell>
        </row>
        <row r="3312">
          <cell r="C3312">
            <v>0</v>
          </cell>
          <cell r="N3312">
            <v>0</v>
          </cell>
          <cell r="O3312">
            <v>0</v>
          </cell>
          <cell r="AP3312">
            <v>0</v>
          </cell>
        </row>
        <row r="3313">
          <cell r="C3313">
            <v>0</v>
          </cell>
          <cell r="N3313">
            <v>0</v>
          </cell>
          <cell r="O3313">
            <v>0</v>
          </cell>
          <cell r="AP3313">
            <v>0</v>
          </cell>
        </row>
        <row r="3314">
          <cell r="C3314">
            <v>0</v>
          </cell>
          <cell r="N3314">
            <v>0</v>
          </cell>
          <cell r="O3314">
            <v>0</v>
          </cell>
          <cell r="AP3314">
            <v>0</v>
          </cell>
        </row>
        <row r="3315">
          <cell r="C3315">
            <v>0</v>
          </cell>
          <cell r="N3315">
            <v>0</v>
          </cell>
          <cell r="O3315">
            <v>0</v>
          </cell>
          <cell r="AP3315">
            <v>0</v>
          </cell>
        </row>
        <row r="3316">
          <cell r="C3316">
            <v>0</v>
          </cell>
          <cell r="N3316">
            <v>0</v>
          </cell>
          <cell r="O3316">
            <v>0</v>
          </cell>
          <cell r="AP3316">
            <v>0</v>
          </cell>
        </row>
        <row r="3317">
          <cell r="C3317">
            <v>0</v>
          </cell>
          <cell r="N3317">
            <v>0</v>
          </cell>
          <cell r="O3317">
            <v>0</v>
          </cell>
          <cell r="AP3317">
            <v>0</v>
          </cell>
        </row>
        <row r="3318">
          <cell r="C3318">
            <v>0</v>
          </cell>
          <cell r="N3318">
            <v>0</v>
          </cell>
          <cell r="O3318">
            <v>0</v>
          </cell>
          <cell r="AP3318">
            <v>0</v>
          </cell>
        </row>
        <row r="3319">
          <cell r="C3319">
            <v>0</v>
          </cell>
          <cell r="N3319">
            <v>0</v>
          </cell>
          <cell r="O3319">
            <v>0</v>
          </cell>
          <cell r="AP3319">
            <v>0</v>
          </cell>
        </row>
        <row r="3320">
          <cell r="C3320">
            <v>0</v>
          </cell>
          <cell r="N3320">
            <v>0</v>
          </cell>
          <cell r="O3320">
            <v>0</v>
          </cell>
          <cell r="AP3320">
            <v>0</v>
          </cell>
        </row>
        <row r="3321">
          <cell r="C3321">
            <v>0</v>
          </cell>
          <cell r="N3321">
            <v>0</v>
          </cell>
          <cell r="O3321">
            <v>0</v>
          </cell>
          <cell r="AP3321">
            <v>0</v>
          </cell>
        </row>
        <row r="3322">
          <cell r="C3322">
            <v>0</v>
          </cell>
          <cell r="N3322">
            <v>0</v>
          </cell>
          <cell r="O3322">
            <v>0</v>
          </cell>
          <cell r="AP3322">
            <v>0</v>
          </cell>
        </row>
        <row r="3323">
          <cell r="C3323">
            <v>0</v>
          </cell>
          <cell r="N3323">
            <v>0</v>
          </cell>
          <cell r="O3323">
            <v>0</v>
          </cell>
          <cell r="AP3323">
            <v>0</v>
          </cell>
        </row>
        <row r="3324">
          <cell r="C3324">
            <v>0</v>
          </cell>
          <cell r="N3324">
            <v>0</v>
          </cell>
          <cell r="O3324">
            <v>0</v>
          </cell>
          <cell r="AP3324">
            <v>0</v>
          </cell>
        </row>
        <row r="3325">
          <cell r="C3325">
            <v>0</v>
          </cell>
          <cell r="N3325">
            <v>0</v>
          </cell>
          <cell r="O3325">
            <v>0</v>
          </cell>
          <cell r="AP3325">
            <v>0</v>
          </cell>
        </row>
        <row r="3326">
          <cell r="C3326">
            <v>0</v>
          </cell>
          <cell r="N3326">
            <v>0</v>
          </cell>
          <cell r="O3326">
            <v>0</v>
          </cell>
          <cell r="AP3326">
            <v>0</v>
          </cell>
        </row>
        <row r="3327">
          <cell r="C3327">
            <v>0</v>
          </cell>
          <cell r="N3327">
            <v>0</v>
          </cell>
          <cell r="O3327">
            <v>0</v>
          </cell>
          <cell r="AP3327">
            <v>0</v>
          </cell>
        </row>
        <row r="3328">
          <cell r="C3328">
            <v>0</v>
          </cell>
          <cell r="N3328">
            <v>0</v>
          </cell>
          <cell r="O3328">
            <v>0</v>
          </cell>
          <cell r="AP3328">
            <v>0</v>
          </cell>
        </row>
        <row r="3329">
          <cell r="C3329">
            <v>0</v>
          </cell>
          <cell r="N3329">
            <v>0</v>
          </cell>
          <cell r="O3329">
            <v>0</v>
          </cell>
          <cell r="AP3329">
            <v>0</v>
          </cell>
        </row>
        <row r="3330">
          <cell r="C3330">
            <v>0</v>
          </cell>
          <cell r="N3330">
            <v>0</v>
          </cell>
          <cell r="O3330">
            <v>0</v>
          </cell>
          <cell r="AP3330">
            <v>0</v>
          </cell>
        </row>
        <row r="3331">
          <cell r="C3331">
            <v>0</v>
          </cell>
          <cell r="N3331">
            <v>0</v>
          </cell>
          <cell r="O3331">
            <v>0</v>
          </cell>
          <cell r="AP3331">
            <v>0</v>
          </cell>
        </row>
        <row r="3332">
          <cell r="C3332">
            <v>0</v>
          </cell>
          <cell r="N3332">
            <v>0</v>
          </cell>
          <cell r="O3332">
            <v>0</v>
          </cell>
          <cell r="AP3332">
            <v>0</v>
          </cell>
        </row>
        <row r="3333">
          <cell r="C3333">
            <v>0</v>
          </cell>
          <cell r="N3333">
            <v>0</v>
          </cell>
          <cell r="O3333">
            <v>0</v>
          </cell>
          <cell r="AP3333">
            <v>0</v>
          </cell>
        </row>
        <row r="3334">
          <cell r="C3334">
            <v>0</v>
          </cell>
          <cell r="N3334">
            <v>0</v>
          </cell>
          <cell r="O3334">
            <v>0</v>
          </cell>
          <cell r="AP3334">
            <v>0</v>
          </cell>
        </row>
        <row r="3335">
          <cell r="C3335">
            <v>0</v>
          </cell>
          <cell r="N3335">
            <v>0</v>
          </cell>
          <cell r="O3335">
            <v>0</v>
          </cell>
          <cell r="AP3335">
            <v>0</v>
          </cell>
        </row>
        <row r="3336">
          <cell r="C3336">
            <v>0</v>
          </cell>
          <cell r="N3336">
            <v>0</v>
          </cell>
          <cell r="O3336">
            <v>0</v>
          </cell>
          <cell r="AP3336">
            <v>0</v>
          </cell>
        </row>
        <row r="3337">
          <cell r="C3337">
            <v>0</v>
          </cell>
          <cell r="N3337">
            <v>0</v>
          </cell>
          <cell r="O3337">
            <v>0</v>
          </cell>
          <cell r="AP3337">
            <v>0</v>
          </cell>
        </row>
        <row r="3338">
          <cell r="C3338">
            <v>0</v>
          </cell>
          <cell r="N3338">
            <v>0</v>
          </cell>
          <cell r="O3338">
            <v>0</v>
          </cell>
          <cell r="AP3338">
            <v>0</v>
          </cell>
        </row>
        <row r="3339">
          <cell r="C3339">
            <v>0</v>
          </cell>
          <cell r="N3339">
            <v>0</v>
          </cell>
          <cell r="O3339">
            <v>0</v>
          </cell>
          <cell r="AP3339">
            <v>0</v>
          </cell>
        </row>
        <row r="3340">
          <cell r="C3340">
            <v>0</v>
          </cell>
          <cell r="N3340">
            <v>0</v>
          </cell>
          <cell r="O3340">
            <v>0</v>
          </cell>
          <cell r="AP3340">
            <v>0</v>
          </cell>
        </row>
        <row r="3341">
          <cell r="C3341">
            <v>0</v>
          </cell>
          <cell r="N3341">
            <v>0</v>
          </cell>
          <cell r="O3341">
            <v>0</v>
          </cell>
          <cell r="AP3341">
            <v>0</v>
          </cell>
        </row>
        <row r="3342">
          <cell r="C3342">
            <v>0</v>
          </cell>
          <cell r="N3342">
            <v>0</v>
          </cell>
          <cell r="O3342">
            <v>0</v>
          </cell>
          <cell r="AP3342">
            <v>0</v>
          </cell>
        </row>
        <row r="3343">
          <cell r="C3343">
            <v>0</v>
          </cell>
          <cell r="N3343">
            <v>0</v>
          </cell>
          <cell r="O3343">
            <v>0</v>
          </cell>
          <cell r="AP3343">
            <v>0</v>
          </cell>
        </row>
        <row r="3344">
          <cell r="C3344">
            <v>0</v>
          </cell>
          <cell r="N3344">
            <v>0</v>
          </cell>
          <cell r="O3344">
            <v>0</v>
          </cell>
          <cell r="AP3344">
            <v>0</v>
          </cell>
        </row>
        <row r="3345">
          <cell r="C3345">
            <v>0</v>
          </cell>
          <cell r="N3345">
            <v>0</v>
          </cell>
          <cell r="O3345">
            <v>0</v>
          </cell>
          <cell r="AP3345">
            <v>0</v>
          </cell>
        </row>
        <row r="3346">
          <cell r="C3346">
            <v>0</v>
          </cell>
          <cell r="N3346">
            <v>0</v>
          </cell>
          <cell r="O3346">
            <v>0</v>
          </cell>
          <cell r="AP3346">
            <v>0</v>
          </cell>
        </row>
        <row r="3347">
          <cell r="C3347">
            <v>0</v>
          </cell>
          <cell r="N3347">
            <v>0</v>
          </cell>
          <cell r="O3347">
            <v>0</v>
          </cell>
          <cell r="AP3347">
            <v>0</v>
          </cell>
        </row>
        <row r="3348">
          <cell r="C3348">
            <v>0</v>
          </cell>
          <cell r="N3348">
            <v>0</v>
          </cell>
          <cell r="O3348">
            <v>0</v>
          </cell>
          <cell r="AP3348">
            <v>0</v>
          </cell>
        </row>
        <row r="3349">
          <cell r="C3349">
            <v>0</v>
          </cell>
          <cell r="N3349">
            <v>0</v>
          </cell>
          <cell r="O3349">
            <v>0</v>
          </cell>
          <cell r="AP3349">
            <v>0</v>
          </cell>
        </row>
        <row r="3350">
          <cell r="C3350">
            <v>0</v>
          </cell>
          <cell r="N3350">
            <v>0</v>
          </cell>
          <cell r="O3350">
            <v>0</v>
          </cell>
          <cell r="AP3350">
            <v>0</v>
          </cell>
        </row>
        <row r="3351">
          <cell r="C3351">
            <v>0</v>
          </cell>
          <cell r="N3351">
            <v>0</v>
          </cell>
          <cell r="O3351">
            <v>0</v>
          </cell>
          <cell r="AP3351">
            <v>0</v>
          </cell>
        </row>
        <row r="3352">
          <cell r="C3352">
            <v>0</v>
          </cell>
          <cell r="N3352">
            <v>0</v>
          </cell>
          <cell r="O3352">
            <v>0</v>
          </cell>
          <cell r="AP3352">
            <v>0</v>
          </cell>
        </row>
        <row r="3353">
          <cell r="C3353">
            <v>0</v>
          </cell>
          <cell r="N3353">
            <v>0</v>
          </cell>
          <cell r="O3353">
            <v>0</v>
          </cell>
          <cell r="AP3353">
            <v>0</v>
          </cell>
        </row>
        <row r="3354">
          <cell r="C3354">
            <v>0</v>
          </cell>
          <cell r="N3354">
            <v>0</v>
          </cell>
          <cell r="O3354">
            <v>0</v>
          </cell>
          <cell r="AP3354">
            <v>0</v>
          </cell>
        </row>
        <row r="3355">
          <cell r="C3355">
            <v>0</v>
          </cell>
          <cell r="N3355">
            <v>0</v>
          </cell>
          <cell r="O3355">
            <v>0</v>
          </cell>
          <cell r="AP3355">
            <v>0</v>
          </cell>
        </row>
        <row r="3356">
          <cell r="C3356">
            <v>0</v>
          </cell>
          <cell r="N3356">
            <v>0</v>
          </cell>
          <cell r="O3356">
            <v>0</v>
          </cell>
          <cell r="AP3356">
            <v>0</v>
          </cell>
        </row>
        <row r="3357">
          <cell r="C3357">
            <v>0</v>
          </cell>
          <cell r="N3357">
            <v>0</v>
          </cell>
          <cell r="O3357">
            <v>0</v>
          </cell>
          <cell r="AP3357">
            <v>0</v>
          </cell>
        </row>
        <row r="3358">
          <cell r="C3358">
            <v>0</v>
          </cell>
          <cell r="N3358">
            <v>0</v>
          </cell>
          <cell r="O3358">
            <v>0</v>
          </cell>
          <cell r="AP3358">
            <v>0</v>
          </cell>
        </row>
        <row r="3359">
          <cell r="C3359">
            <v>0</v>
          </cell>
          <cell r="N3359">
            <v>0</v>
          </cell>
          <cell r="O3359">
            <v>0</v>
          </cell>
          <cell r="AP3359">
            <v>0</v>
          </cell>
        </row>
        <row r="3360">
          <cell r="C3360">
            <v>0</v>
          </cell>
          <cell r="N3360">
            <v>0</v>
          </cell>
          <cell r="O3360">
            <v>0</v>
          </cell>
          <cell r="AP3360">
            <v>0</v>
          </cell>
        </row>
        <row r="3361">
          <cell r="C3361">
            <v>0</v>
          </cell>
          <cell r="N3361">
            <v>0</v>
          </cell>
          <cell r="O3361">
            <v>0</v>
          </cell>
          <cell r="AP3361">
            <v>0</v>
          </cell>
        </row>
        <row r="3362">
          <cell r="C3362">
            <v>0</v>
          </cell>
          <cell r="N3362">
            <v>0</v>
          </cell>
          <cell r="O3362">
            <v>0</v>
          </cell>
          <cell r="AP3362">
            <v>0</v>
          </cell>
        </row>
        <row r="3363">
          <cell r="C3363">
            <v>0</v>
          </cell>
          <cell r="N3363">
            <v>0</v>
          </cell>
          <cell r="O3363">
            <v>0</v>
          </cell>
          <cell r="AP3363">
            <v>0</v>
          </cell>
        </row>
        <row r="3364">
          <cell r="C3364">
            <v>0</v>
          </cell>
          <cell r="N3364">
            <v>0</v>
          </cell>
          <cell r="O3364">
            <v>0</v>
          </cell>
          <cell r="AP3364">
            <v>0</v>
          </cell>
        </row>
        <row r="3365">
          <cell r="C3365">
            <v>0</v>
          </cell>
          <cell r="N3365">
            <v>0</v>
          </cell>
          <cell r="O3365">
            <v>0</v>
          </cell>
          <cell r="AP3365">
            <v>0</v>
          </cell>
        </row>
        <row r="3366">
          <cell r="C3366">
            <v>0</v>
          </cell>
          <cell r="N3366">
            <v>0</v>
          </cell>
          <cell r="O3366">
            <v>0</v>
          </cell>
          <cell r="AP3366">
            <v>0</v>
          </cell>
        </row>
        <row r="3367">
          <cell r="C3367">
            <v>0</v>
          </cell>
          <cell r="N3367">
            <v>0</v>
          </cell>
          <cell r="O3367">
            <v>0</v>
          </cell>
          <cell r="AP3367">
            <v>0</v>
          </cell>
        </row>
        <row r="3368">
          <cell r="C3368">
            <v>0</v>
          </cell>
          <cell r="N3368">
            <v>0</v>
          </cell>
          <cell r="O3368">
            <v>0</v>
          </cell>
          <cell r="AP3368">
            <v>0</v>
          </cell>
        </row>
        <row r="3369">
          <cell r="C3369">
            <v>0</v>
          </cell>
          <cell r="N3369">
            <v>0</v>
          </cell>
          <cell r="O3369">
            <v>0</v>
          </cell>
          <cell r="AP3369">
            <v>0</v>
          </cell>
        </row>
        <row r="3370">
          <cell r="C3370">
            <v>0</v>
          </cell>
          <cell r="N3370">
            <v>0</v>
          </cell>
          <cell r="O3370">
            <v>0</v>
          </cell>
          <cell r="AP3370">
            <v>0</v>
          </cell>
        </row>
        <row r="3371">
          <cell r="C3371">
            <v>0</v>
          </cell>
          <cell r="N3371">
            <v>0</v>
          </cell>
          <cell r="O3371">
            <v>0</v>
          </cell>
          <cell r="AP3371">
            <v>0</v>
          </cell>
        </row>
        <row r="3372">
          <cell r="C3372">
            <v>0</v>
          </cell>
          <cell r="N3372">
            <v>0</v>
          </cell>
          <cell r="O3372">
            <v>0</v>
          </cell>
          <cell r="AP3372">
            <v>0</v>
          </cell>
        </row>
        <row r="3373">
          <cell r="C3373">
            <v>0</v>
          </cell>
          <cell r="N3373">
            <v>0</v>
          </cell>
          <cell r="O3373">
            <v>0</v>
          </cell>
          <cell r="AP3373">
            <v>0</v>
          </cell>
        </row>
        <row r="3374">
          <cell r="C3374">
            <v>0</v>
          </cell>
          <cell r="N3374">
            <v>0</v>
          </cell>
          <cell r="O3374">
            <v>0</v>
          </cell>
          <cell r="AP3374">
            <v>0</v>
          </cell>
        </row>
        <row r="3375">
          <cell r="C3375">
            <v>0</v>
          </cell>
          <cell r="N3375">
            <v>0</v>
          </cell>
          <cell r="O3375">
            <v>0</v>
          </cell>
          <cell r="AP3375">
            <v>0</v>
          </cell>
        </row>
        <row r="3376">
          <cell r="C3376">
            <v>0</v>
          </cell>
          <cell r="N3376">
            <v>0</v>
          </cell>
          <cell r="O3376">
            <v>0</v>
          </cell>
          <cell r="AP3376">
            <v>0</v>
          </cell>
        </row>
        <row r="3377">
          <cell r="C3377">
            <v>0</v>
          </cell>
          <cell r="N3377">
            <v>0</v>
          </cell>
          <cell r="O3377">
            <v>0</v>
          </cell>
          <cell r="AP3377">
            <v>0</v>
          </cell>
        </row>
        <row r="3378">
          <cell r="C3378">
            <v>0</v>
          </cell>
          <cell r="N3378">
            <v>0</v>
          </cell>
          <cell r="O3378">
            <v>0</v>
          </cell>
          <cell r="AP3378">
            <v>0</v>
          </cell>
        </row>
        <row r="3379">
          <cell r="C3379">
            <v>0</v>
          </cell>
          <cell r="N3379">
            <v>0</v>
          </cell>
          <cell r="O3379">
            <v>0</v>
          </cell>
          <cell r="AP3379">
            <v>0</v>
          </cell>
        </row>
        <row r="3380">
          <cell r="C3380">
            <v>0</v>
          </cell>
          <cell r="N3380">
            <v>0</v>
          </cell>
          <cell r="O3380">
            <v>0</v>
          </cell>
          <cell r="AP3380">
            <v>0</v>
          </cell>
        </row>
        <row r="3381">
          <cell r="C3381">
            <v>0</v>
          </cell>
          <cell r="N3381">
            <v>0</v>
          </cell>
          <cell r="O3381">
            <v>0</v>
          </cell>
          <cell r="AP3381">
            <v>0</v>
          </cell>
        </row>
        <row r="3382">
          <cell r="C3382">
            <v>0</v>
          </cell>
          <cell r="N3382">
            <v>0</v>
          </cell>
          <cell r="O3382">
            <v>0</v>
          </cell>
          <cell r="AP3382">
            <v>0</v>
          </cell>
        </row>
        <row r="3383">
          <cell r="C3383">
            <v>0</v>
          </cell>
          <cell r="N3383">
            <v>0</v>
          </cell>
          <cell r="O3383">
            <v>0</v>
          </cell>
          <cell r="AP3383">
            <v>0</v>
          </cell>
        </row>
        <row r="3384">
          <cell r="C3384">
            <v>0</v>
          </cell>
          <cell r="N3384">
            <v>0</v>
          </cell>
          <cell r="O3384">
            <v>0</v>
          </cell>
          <cell r="AP3384">
            <v>0</v>
          </cell>
        </row>
        <row r="3385">
          <cell r="C3385">
            <v>0</v>
          </cell>
          <cell r="N3385">
            <v>0</v>
          </cell>
          <cell r="O3385">
            <v>0</v>
          </cell>
          <cell r="AP3385">
            <v>0</v>
          </cell>
        </row>
        <row r="3386">
          <cell r="C3386">
            <v>0</v>
          </cell>
          <cell r="N3386">
            <v>0</v>
          </cell>
          <cell r="O3386">
            <v>0</v>
          </cell>
          <cell r="AP3386">
            <v>0</v>
          </cell>
        </row>
        <row r="3387">
          <cell r="C3387">
            <v>0</v>
          </cell>
          <cell r="N3387">
            <v>0</v>
          </cell>
          <cell r="O3387">
            <v>0</v>
          </cell>
          <cell r="AP3387">
            <v>0</v>
          </cell>
        </row>
        <row r="3388">
          <cell r="C3388">
            <v>0</v>
          </cell>
          <cell r="N3388">
            <v>0</v>
          </cell>
          <cell r="O3388">
            <v>0</v>
          </cell>
          <cell r="AP3388">
            <v>0</v>
          </cell>
        </row>
        <row r="3389">
          <cell r="C3389">
            <v>0</v>
          </cell>
          <cell r="N3389">
            <v>0</v>
          </cell>
          <cell r="O3389">
            <v>0</v>
          </cell>
          <cell r="AP3389">
            <v>0</v>
          </cell>
        </row>
        <row r="3390">
          <cell r="C3390">
            <v>0</v>
          </cell>
          <cell r="N3390">
            <v>0</v>
          </cell>
          <cell r="O3390">
            <v>0</v>
          </cell>
          <cell r="AP3390">
            <v>0</v>
          </cell>
        </row>
        <row r="3391">
          <cell r="C3391">
            <v>0</v>
          </cell>
          <cell r="N3391">
            <v>0</v>
          </cell>
          <cell r="O3391">
            <v>0</v>
          </cell>
          <cell r="AP3391">
            <v>0</v>
          </cell>
        </row>
        <row r="3392">
          <cell r="C3392">
            <v>0</v>
          </cell>
          <cell r="N3392">
            <v>0</v>
          </cell>
          <cell r="O3392">
            <v>0</v>
          </cell>
          <cell r="AP3392">
            <v>0</v>
          </cell>
        </row>
        <row r="3393">
          <cell r="C3393">
            <v>0</v>
          </cell>
          <cell r="N3393">
            <v>0</v>
          </cell>
          <cell r="O3393">
            <v>0</v>
          </cell>
          <cell r="AP3393">
            <v>0</v>
          </cell>
        </row>
        <row r="3394">
          <cell r="C3394">
            <v>0</v>
          </cell>
          <cell r="N3394">
            <v>0</v>
          </cell>
          <cell r="O3394">
            <v>0</v>
          </cell>
          <cell r="AP3394">
            <v>0</v>
          </cell>
        </row>
        <row r="3395">
          <cell r="C3395">
            <v>0</v>
          </cell>
          <cell r="N3395">
            <v>0</v>
          </cell>
          <cell r="O3395">
            <v>0</v>
          </cell>
          <cell r="AP3395">
            <v>0</v>
          </cell>
        </row>
        <row r="3396">
          <cell r="C3396">
            <v>0</v>
          </cell>
          <cell r="N3396">
            <v>0</v>
          </cell>
          <cell r="O3396">
            <v>0</v>
          </cell>
          <cell r="AP3396">
            <v>0</v>
          </cell>
        </row>
        <row r="3397">
          <cell r="C3397">
            <v>0</v>
          </cell>
          <cell r="N3397">
            <v>0</v>
          </cell>
          <cell r="O3397">
            <v>0</v>
          </cell>
          <cell r="AP3397">
            <v>0</v>
          </cell>
        </row>
        <row r="3398">
          <cell r="C3398">
            <v>0</v>
          </cell>
          <cell r="N3398">
            <v>0</v>
          </cell>
          <cell r="O3398">
            <v>0</v>
          </cell>
          <cell r="AP3398">
            <v>0</v>
          </cell>
        </row>
        <row r="3399">
          <cell r="C3399">
            <v>0</v>
          </cell>
          <cell r="N3399">
            <v>0</v>
          </cell>
          <cell r="O3399">
            <v>0</v>
          </cell>
          <cell r="AP3399">
            <v>0</v>
          </cell>
        </row>
        <row r="3400">
          <cell r="C3400">
            <v>0</v>
          </cell>
          <cell r="N3400">
            <v>0</v>
          </cell>
          <cell r="O3400">
            <v>0</v>
          </cell>
          <cell r="AP3400">
            <v>0</v>
          </cell>
        </row>
        <row r="3401">
          <cell r="C3401">
            <v>0</v>
          </cell>
          <cell r="N3401">
            <v>0</v>
          </cell>
          <cell r="O3401">
            <v>0</v>
          </cell>
          <cell r="AP3401">
            <v>0</v>
          </cell>
        </row>
        <row r="3402">
          <cell r="C3402">
            <v>0</v>
          </cell>
          <cell r="N3402">
            <v>0</v>
          </cell>
          <cell r="O3402">
            <v>0</v>
          </cell>
          <cell r="AP3402">
            <v>0</v>
          </cell>
        </row>
        <row r="3403">
          <cell r="C3403">
            <v>0</v>
          </cell>
          <cell r="N3403">
            <v>0</v>
          </cell>
          <cell r="O3403">
            <v>0</v>
          </cell>
          <cell r="AP3403">
            <v>0</v>
          </cell>
        </row>
        <row r="3404">
          <cell r="C3404">
            <v>0</v>
          </cell>
          <cell r="N3404">
            <v>0</v>
          </cell>
          <cell r="O3404">
            <v>0</v>
          </cell>
          <cell r="AP3404">
            <v>0</v>
          </cell>
        </row>
        <row r="3405">
          <cell r="C3405">
            <v>0</v>
          </cell>
          <cell r="N3405">
            <v>0</v>
          </cell>
          <cell r="O3405">
            <v>0</v>
          </cell>
          <cell r="AP3405">
            <v>0</v>
          </cell>
        </row>
        <row r="3406">
          <cell r="C3406">
            <v>0</v>
          </cell>
          <cell r="N3406">
            <v>0</v>
          </cell>
          <cell r="O3406">
            <v>0</v>
          </cell>
          <cell r="AP3406">
            <v>0</v>
          </cell>
        </row>
        <row r="3407">
          <cell r="C3407">
            <v>0</v>
          </cell>
          <cell r="N3407">
            <v>0</v>
          </cell>
          <cell r="O3407">
            <v>0</v>
          </cell>
          <cell r="AP3407">
            <v>0</v>
          </cell>
        </row>
        <row r="3408">
          <cell r="C3408">
            <v>0</v>
          </cell>
          <cell r="N3408">
            <v>0</v>
          </cell>
          <cell r="O3408">
            <v>0</v>
          </cell>
          <cell r="AP3408">
            <v>0</v>
          </cell>
        </row>
        <row r="3409">
          <cell r="C3409">
            <v>0</v>
          </cell>
          <cell r="N3409">
            <v>0</v>
          </cell>
          <cell r="O3409">
            <v>0</v>
          </cell>
          <cell r="AP3409">
            <v>0</v>
          </cell>
        </row>
        <row r="3410">
          <cell r="C3410">
            <v>0</v>
          </cell>
          <cell r="N3410">
            <v>0</v>
          </cell>
          <cell r="O3410">
            <v>0</v>
          </cell>
          <cell r="AP3410">
            <v>0</v>
          </cell>
        </row>
        <row r="3411">
          <cell r="C3411">
            <v>0</v>
          </cell>
          <cell r="N3411">
            <v>0</v>
          </cell>
          <cell r="O3411">
            <v>0</v>
          </cell>
          <cell r="AP3411">
            <v>0</v>
          </cell>
        </row>
        <row r="3412">
          <cell r="C3412">
            <v>0</v>
          </cell>
          <cell r="N3412">
            <v>0</v>
          </cell>
          <cell r="O3412">
            <v>0</v>
          </cell>
          <cell r="AP3412">
            <v>0</v>
          </cell>
        </row>
        <row r="3413">
          <cell r="C3413">
            <v>0</v>
          </cell>
          <cell r="N3413">
            <v>0</v>
          </cell>
          <cell r="O3413">
            <v>0</v>
          </cell>
          <cell r="AP3413">
            <v>0</v>
          </cell>
        </row>
        <row r="3414">
          <cell r="C3414">
            <v>0</v>
          </cell>
          <cell r="N3414">
            <v>0</v>
          </cell>
          <cell r="O3414">
            <v>0</v>
          </cell>
          <cell r="AP3414">
            <v>0</v>
          </cell>
        </row>
        <row r="3415">
          <cell r="C3415">
            <v>0</v>
          </cell>
          <cell r="N3415">
            <v>0</v>
          </cell>
          <cell r="O3415">
            <v>0</v>
          </cell>
          <cell r="AP3415">
            <v>0</v>
          </cell>
        </row>
        <row r="3416">
          <cell r="C3416">
            <v>0</v>
          </cell>
          <cell r="N3416">
            <v>0</v>
          </cell>
          <cell r="O3416">
            <v>0</v>
          </cell>
          <cell r="AP3416">
            <v>0</v>
          </cell>
        </row>
        <row r="3417">
          <cell r="C3417">
            <v>0</v>
          </cell>
          <cell r="N3417">
            <v>0</v>
          </cell>
          <cell r="O3417">
            <v>0</v>
          </cell>
          <cell r="AP3417">
            <v>0</v>
          </cell>
        </row>
        <row r="3418">
          <cell r="C3418">
            <v>0</v>
          </cell>
          <cell r="N3418">
            <v>0</v>
          </cell>
          <cell r="O3418">
            <v>0</v>
          </cell>
          <cell r="AP3418">
            <v>0</v>
          </cell>
        </row>
        <row r="3419">
          <cell r="C3419">
            <v>0</v>
          </cell>
          <cell r="N3419">
            <v>0</v>
          </cell>
          <cell r="O3419">
            <v>0</v>
          </cell>
          <cell r="AP3419">
            <v>0</v>
          </cell>
        </row>
        <row r="3420">
          <cell r="C3420">
            <v>0</v>
          </cell>
          <cell r="N3420">
            <v>0</v>
          </cell>
          <cell r="O3420">
            <v>0</v>
          </cell>
          <cell r="AP3420">
            <v>0</v>
          </cell>
        </row>
        <row r="3421">
          <cell r="C3421">
            <v>0</v>
          </cell>
          <cell r="N3421">
            <v>0</v>
          </cell>
          <cell r="O3421">
            <v>0</v>
          </cell>
          <cell r="AP3421">
            <v>0</v>
          </cell>
        </row>
        <row r="3422">
          <cell r="C3422">
            <v>0</v>
          </cell>
          <cell r="N3422">
            <v>0</v>
          </cell>
          <cell r="O3422">
            <v>0</v>
          </cell>
          <cell r="AP3422">
            <v>0</v>
          </cell>
        </row>
        <row r="3423">
          <cell r="C3423">
            <v>0</v>
          </cell>
          <cell r="N3423">
            <v>0</v>
          </cell>
          <cell r="O3423">
            <v>0</v>
          </cell>
          <cell r="AP3423">
            <v>0</v>
          </cell>
        </row>
        <row r="3424">
          <cell r="C3424">
            <v>0</v>
          </cell>
          <cell r="N3424">
            <v>0</v>
          </cell>
          <cell r="O3424">
            <v>0</v>
          </cell>
          <cell r="AP3424">
            <v>0</v>
          </cell>
        </row>
        <row r="3425">
          <cell r="C3425">
            <v>0</v>
          </cell>
          <cell r="N3425">
            <v>0</v>
          </cell>
          <cell r="O3425">
            <v>0</v>
          </cell>
          <cell r="AP3425">
            <v>0</v>
          </cell>
        </row>
        <row r="3426">
          <cell r="C3426">
            <v>0</v>
          </cell>
          <cell r="N3426">
            <v>0</v>
          </cell>
          <cell r="O3426">
            <v>0</v>
          </cell>
          <cell r="AP3426">
            <v>0</v>
          </cell>
        </row>
        <row r="3427">
          <cell r="C3427">
            <v>0</v>
          </cell>
          <cell r="N3427">
            <v>0</v>
          </cell>
          <cell r="O3427">
            <v>0</v>
          </cell>
          <cell r="AP3427">
            <v>0</v>
          </cell>
        </row>
        <row r="3428">
          <cell r="C3428">
            <v>0</v>
          </cell>
          <cell r="N3428">
            <v>0</v>
          </cell>
          <cell r="O3428">
            <v>0</v>
          </cell>
          <cell r="AP3428">
            <v>0</v>
          </cell>
        </row>
        <row r="3429">
          <cell r="C3429">
            <v>0</v>
          </cell>
          <cell r="N3429">
            <v>0</v>
          </cell>
          <cell r="O3429">
            <v>0</v>
          </cell>
          <cell r="AP3429">
            <v>0</v>
          </cell>
        </row>
        <row r="3430">
          <cell r="C3430">
            <v>0</v>
          </cell>
          <cell r="N3430">
            <v>0</v>
          </cell>
          <cell r="O3430">
            <v>0</v>
          </cell>
          <cell r="AP3430">
            <v>0</v>
          </cell>
        </row>
        <row r="3431">
          <cell r="C3431">
            <v>0</v>
          </cell>
          <cell r="N3431">
            <v>0</v>
          </cell>
          <cell r="O3431">
            <v>0</v>
          </cell>
          <cell r="AP3431">
            <v>0</v>
          </cell>
        </row>
        <row r="3432">
          <cell r="C3432">
            <v>0</v>
          </cell>
          <cell r="N3432">
            <v>0</v>
          </cell>
          <cell r="O3432">
            <v>0</v>
          </cell>
          <cell r="AP3432">
            <v>0</v>
          </cell>
        </row>
        <row r="3433">
          <cell r="C3433">
            <v>0</v>
          </cell>
          <cell r="N3433">
            <v>0</v>
          </cell>
          <cell r="O3433">
            <v>0</v>
          </cell>
          <cell r="AP3433">
            <v>0</v>
          </cell>
        </row>
        <row r="3434">
          <cell r="C3434">
            <v>0</v>
          </cell>
          <cell r="N3434">
            <v>0</v>
          </cell>
          <cell r="O3434">
            <v>0</v>
          </cell>
          <cell r="AP3434">
            <v>0</v>
          </cell>
        </row>
        <row r="3435">
          <cell r="C3435">
            <v>0</v>
          </cell>
          <cell r="N3435">
            <v>0</v>
          </cell>
          <cell r="O3435">
            <v>0</v>
          </cell>
          <cell r="AP3435">
            <v>0</v>
          </cell>
        </row>
        <row r="3436">
          <cell r="C3436">
            <v>0</v>
          </cell>
          <cell r="N3436">
            <v>0</v>
          </cell>
          <cell r="O3436">
            <v>0</v>
          </cell>
          <cell r="AP3436">
            <v>0</v>
          </cell>
        </row>
        <row r="3437">
          <cell r="C3437">
            <v>0</v>
          </cell>
          <cell r="N3437">
            <v>0</v>
          </cell>
          <cell r="O3437">
            <v>0</v>
          </cell>
          <cell r="AP3437">
            <v>0</v>
          </cell>
        </row>
        <row r="3438">
          <cell r="C3438">
            <v>0</v>
          </cell>
          <cell r="N3438">
            <v>0</v>
          </cell>
          <cell r="O3438">
            <v>0</v>
          </cell>
          <cell r="AP3438">
            <v>0</v>
          </cell>
        </row>
        <row r="3439">
          <cell r="C3439">
            <v>0</v>
          </cell>
          <cell r="N3439">
            <v>0</v>
          </cell>
          <cell r="O3439">
            <v>0</v>
          </cell>
          <cell r="AP3439">
            <v>0</v>
          </cell>
        </row>
        <row r="3440">
          <cell r="C3440">
            <v>0</v>
          </cell>
          <cell r="N3440">
            <v>0</v>
          </cell>
          <cell r="O3440">
            <v>0</v>
          </cell>
          <cell r="AP3440">
            <v>0</v>
          </cell>
        </row>
        <row r="3441">
          <cell r="C3441">
            <v>0</v>
          </cell>
          <cell r="N3441">
            <v>0</v>
          </cell>
          <cell r="O3441">
            <v>0</v>
          </cell>
          <cell r="AP3441">
            <v>0</v>
          </cell>
        </row>
        <row r="3442">
          <cell r="C3442">
            <v>0</v>
          </cell>
          <cell r="N3442">
            <v>0</v>
          </cell>
          <cell r="O3442">
            <v>0</v>
          </cell>
          <cell r="AP3442">
            <v>0</v>
          </cell>
        </row>
        <row r="3443">
          <cell r="C3443">
            <v>0</v>
          </cell>
          <cell r="N3443">
            <v>0</v>
          </cell>
          <cell r="O3443">
            <v>0</v>
          </cell>
          <cell r="AP3443">
            <v>0</v>
          </cell>
        </row>
        <row r="3444">
          <cell r="C3444">
            <v>0</v>
          </cell>
          <cell r="N3444">
            <v>0</v>
          </cell>
          <cell r="O3444">
            <v>0</v>
          </cell>
          <cell r="AP3444">
            <v>0</v>
          </cell>
        </row>
        <row r="3445">
          <cell r="C3445">
            <v>0</v>
          </cell>
          <cell r="N3445">
            <v>0</v>
          </cell>
          <cell r="O3445">
            <v>0</v>
          </cell>
          <cell r="AP3445">
            <v>0</v>
          </cell>
        </row>
        <row r="3446">
          <cell r="C3446">
            <v>0</v>
          </cell>
          <cell r="N3446">
            <v>0</v>
          </cell>
          <cell r="O3446">
            <v>0</v>
          </cell>
          <cell r="AP3446">
            <v>0</v>
          </cell>
        </row>
        <row r="3447">
          <cell r="C3447">
            <v>0</v>
          </cell>
          <cell r="N3447">
            <v>0</v>
          </cell>
          <cell r="O3447">
            <v>0</v>
          </cell>
          <cell r="AP3447">
            <v>0</v>
          </cell>
        </row>
        <row r="3448">
          <cell r="C3448">
            <v>0</v>
          </cell>
          <cell r="N3448">
            <v>0</v>
          </cell>
          <cell r="O3448">
            <v>0</v>
          </cell>
          <cell r="AP3448">
            <v>0</v>
          </cell>
        </row>
        <row r="3449">
          <cell r="C3449">
            <v>0</v>
          </cell>
          <cell r="N3449">
            <v>0</v>
          </cell>
          <cell r="O3449">
            <v>0</v>
          </cell>
          <cell r="AP3449">
            <v>0</v>
          </cell>
        </row>
        <row r="3450">
          <cell r="C3450">
            <v>0</v>
          </cell>
          <cell r="N3450">
            <v>0</v>
          </cell>
          <cell r="O3450">
            <v>0</v>
          </cell>
          <cell r="AP3450">
            <v>0</v>
          </cell>
        </row>
        <row r="3451">
          <cell r="C3451">
            <v>0</v>
          </cell>
          <cell r="N3451">
            <v>0</v>
          </cell>
          <cell r="O3451">
            <v>0</v>
          </cell>
          <cell r="AP3451">
            <v>0</v>
          </cell>
        </row>
        <row r="3452">
          <cell r="C3452">
            <v>0</v>
          </cell>
          <cell r="N3452">
            <v>0</v>
          </cell>
          <cell r="O3452">
            <v>0</v>
          </cell>
          <cell r="AP3452">
            <v>0</v>
          </cell>
        </row>
        <row r="3453">
          <cell r="C3453">
            <v>0</v>
          </cell>
          <cell r="N3453">
            <v>0</v>
          </cell>
          <cell r="O3453">
            <v>0</v>
          </cell>
          <cell r="AP3453">
            <v>0</v>
          </cell>
        </row>
        <row r="3454">
          <cell r="C3454">
            <v>0</v>
          </cell>
          <cell r="N3454">
            <v>0</v>
          </cell>
          <cell r="O3454">
            <v>0</v>
          </cell>
          <cell r="AP3454">
            <v>0</v>
          </cell>
        </row>
        <row r="3455">
          <cell r="C3455">
            <v>0</v>
          </cell>
          <cell r="N3455">
            <v>0</v>
          </cell>
          <cell r="O3455">
            <v>0</v>
          </cell>
          <cell r="AP3455">
            <v>0</v>
          </cell>
        </row>
        <row r="3456">
          <cell r="C3456">
            <v>0</v>
          </cell>
          <cell r="N3456">
            <v>0</v>
          </cell>
          <cell r="O3456">
            <v>0</v>
          </cell>
          <cell r="AP3456">
            <v>0</v>
          </cell>
        </row>
        <row r="3457">
          <cell r="C3457">
            <v>0</v>
          </cell>
          <cell r="N3457">
            <v>0</v>
          </cell>
          <cell r="O3457">
            <v>0</v>
          </cell>
          <cell r="AP3457">
            <v>0</v>
          </cell>
        </row>
        <row r="3458">
          <cell r="C3458">
            <v>0</v>
          </cell>
          <cell r="N3458">
            <v>0</v>
          </cell>
          <cell r="O3458">
            <v>0</v>
          </cell>
          <cell r="AP3458">
            <v>0</v>
          </cell>
        </row>
        <row r="3459">
          <cell r="C3459">
            <v>0</v>
          </cell>
          <cell r="N3459">
            <v>0</v>
          </cell>
          <cell r="O3459">
            <v>0</v>
          </cell>
          <cell r="AP3459">
            <v>0</v>
          </cell>
        </row>
        <row r="3460">
          <cell r="C3460">
            <v>0</v>
          </cell>
          <cell r="N3460">
            <v>0</v>
          </cell>
          <cell r="O3460">
            <v>0</v>
          </cell>
          <cell r="AP3460">
            <v>0</v>
          </cell>
        </row>
        <row r="3461">
          <cell r="C3461">
            <v>0</v>
          </cell>
          <cell r="N3461">
            <v>0</v>
          </cell>
          <cell r="O3461">
            <v>0</v>
          </cell>
          <cell r="AP3461">
            <v>0</v>
          </cell>
        </row>
        <row r="3462">
          <cell r="C3462">
            <v>0</v>
          </cell>
          <cell r="N3462">
            <v>0</v>
          </cell>
          <cell r="O3462">
            <v>0</v>
          </cell>
          <cell r="AP3462">
            <v>0</v>
          </cell>
        </row>
        <row r="3463">
          <cell r="C3463">
            <v>0</v>
          </cell>
          <cell r="N3463">
            <v>0</v>
          </cell>
          <cell r="O3463">
            <v>0</v>
          </cell>
          <cell r="AP3463">
            <v>0</v>
          </cell>
        </row>
        <row r="3464">
          <cell r="C3464">
            <v>0</v>
          </cell>
          <cell r="N3464">
            <v>0</v>
          </cell>
          <cell r="O3464">
            <v>0</v>
          </cell>
          <cell r="AP3464">
            <v>0</v>
          </cell>
        </row>
        <row r="3465">
          <cell r="C3465">
            <v>0</v>
          </cell>
          <cell r="N3465">
            <v>0</v>
          </cell>
          <cell r="O3465">
            <v>0</v>
          </cell>
          <cell r="AP3465">
            <v>0</v>
          </cell>
        </row>
        <row r="3466">
          <cell r="C3466">
            <v>0</v>
          </cell>
          <cell r="N3466">
            <v>0</v>
          </cell>
          <cell r="O3466">
            <v>0</v>
          </cell>
          <cell r="AP3466">
            <v>0</v>
          </cell>
        </row>
        <row r="3467">
          <cell r="C3467">
            <v>0</v>
          </cell>
          <cell r="N3467">
            <v>0</v>
          </cell>
          <cell r="O3467">
            <v>0</v>
          </cell>
          <cell r="AP3467">
            <v>0</v>
          </cell>
        </row>
        <row r="3468">
          <cell r="C3468">
            <v>0</v>
          </cell>
          <cell r="N3468">
            <v>0</v>
          </cell>
          <cell r="O3468">
            <v>0</v>
          </cell>
          <cell r="AP3468">
            <v>0</v>
          </cell>
        </row>
        <row r="3469">
          <cell r="C3469">
            <v>0</v>
          </cell>
          <cell r="N3469">
            <v>0</v>
          </cell>
          <cell r="O3469">
            <v>0</v>
          </cell>
          <cell r="AP3469">
            <v>0</v>
          </cell>
        </row>
        <row r="3470">
          <cell r="C3470">
            <v>0</v>
          </cell>
          <cell r="N3470">
            <v>0</v>
          </cell>
          <cell r="O3470">
            <v>0</v>
          </cell>
          <cell r="AP3470">
            <v>0</v>
          </cell>
        </row>
        <row r="3471">
          <cell r="C3471">
            <v>0</v>
          </cell>
          <cell r="N3471">
            <v>0</v>
          </cell>
          <cell r="O3471">
            <v>0</v>
          </cell>
          <cell r="AP3471">
            <v>0</v>
          </cell>
        </row>
        <row r="3472">
          <cell r="C3472">
            <v>0</v>
          </cell>
          <cell r="N3472">
            <v>0</v>
          </cell>
          <cell r="O3472">
            <v>0</v>
          </cell>
          <cell r="AP3472">
            <v>0</v>
          </cell>
        </row>
        <row r="3473">
          <cell r="C3473">
            <v>0</v>
          </cell>
          <cell r="N3473">
            <v>0</v>
          </cell>
          <cell r="O3473">
            <v>0</v>
          </cell>
          <cell r="AP3473">
            <v>0</v>
          </cell>
        </row>
        <row r="3474">
          <cell r="C3474">
            <v>0</v>
          </cell>
          <cell r="N3474">
            <v>0</v>
          </cell>
          <cell r="O3474">
            <v>0</v>
          </cell>
          <cell r="AP3474">
            <v>0</v>
          </cell>
        </row>
        <row r="3475">
          <cell r="C3475">
            <v>0</v>
          </cell>
          <cell r="N3475">
            <v>0</v>
          </cell>
          <cell r="O3475">
            <v>0</v>
          </cell>
          <cell r="AP3475">
            <v>0</v>
          </cell>
        </row>
        <row r="3476">
          <cell r="C3476">
            <v>0</v>
          </cell>
          <cell r="N3476">
            <v>0</v>
          </cell>
          <cell r="O3476">
            <v>0</v>
          </cell>
          <cell r="AP3476">
            <v>0</v>
          </cell>
        </row>
        <row r="3477">
          <cell r="C3477">
            <v>0</v>
          </cell>
          <cell r="N3477">
            <v>0</v>
          </cell>
          <cell r="O3477">
            <v>0</v>
          </cell>
          <cell r="AP3477">
            <v>0</v>
          </cell>
        </row>
        <row r="3478">
          <cell r="C3478">
            <v>0</v>
          </cell>
          <cell r="N3478">
            <v>0</v>
          </cell>
          <cell r="O3478">
            <v>0</v>
          </cell>
          <cell r="AP3478">
            <v>0</v>
          </cell>
        </row>
        <row r="3479">
          <cell r="C3479">
            <v>0</v>
          </cell>
          <cell r="N3479">
            <v>0</v>
          </cell>
          <cell r="O3479">
            <v>0</v>
          </cell>
          <cell r="AP3479">
            <v>0</v>
          </cell>
        </row>
        <row r="3480">
          <cell r="C3480">
            <v>0</v>
          </cell>
          <cell r="N3480">
            <v>0</v>
          </cell>
          <cell r="O3480">
            <v>0</v>
          </cell>
          <cell r="AP3480">
            <v>0</v>
          </cell>
        </row>
        <row r="3481">
          <cell r="C3481">
            <v>0</v>
          </cell>
          <cell r="N3481">
            <v>0</v>
          </cell>
          <cell r="O3481">
            <v>0</v>
          </cell>
          <cell r="AP3481">
            <v>0</v>
          </cell>
        </row>
        <row r="3482">
          <cell r="C3482">
            <v>0</v>
          </cell>
          <cell r="N3482">
            <v>0</v>
          </cell>
          <cell r="O3482">
            <v>0</v>
          </cell>
          <cell r="AP3482">
            <v>0</v>
          </cell>
        </row>
        <row r="3483">
          <cell r="C3483">
            <v>0</v>
          </cell>
          <cell r="N3483">
            <v>0</v>
          </cell>
          <cell r="O3483">
            <v>0</v>
          </cell>
          <cell r="AP3483">
            <v>0</v>
          </cell>
        </row>
        <row r="3484">
          <cell r="C3484">
            <v>0</v>
          </cell>
          <cell r="N3484">
            <v>0</v>
          </cell>
          <cell r="O3484">
            <v>0</v>
          </cell>
          <cell r="AP3484">
            <v>0</v>
          </cell>
        </row>
        <row r="3485">
          <cell r="C3485">
            <v>0</v>
          </cell>
          <cell r="N3485">
            <v>0</v>
          </cell>
          <cell r="O3485">
            <v>0</v>
          </cell>
          <cell r="AP3485">
            <v>0</v>
          </cell>
        </row>
        <row r="3486">
          <cell r="C3486">
            <v>0</v>
          </cell>
          <cell r="N3486">
            <v>0</v>
          </cell>
          <cell r="O3486">
            <v>0</v>
          </cell>
          <cell r="AP3486">
            <v>0</v>
          </cell>
        </row>
        <row r="3487">
          <cell r="C3487">
            <v>0</v>
          </cell>
          <cell r="N3487">
            <v>0</v>
          </cell>
          <cell r="O3487">
            <v>0</v>
          </cell>
          <cell r="AP3487">
            <v>0</v>
          </cell>
        </row>
        <row r="3488">
          <cell r="C3488">
            <v>0</v>
          </cell>
          <cell r="N3488">
            <v>0</v>
          </cell>
          <cell r="O3488">
            <v>0</v>
          </cell>
          <cell r="AP3488">
            <v>0</v>
          </cell>
        </row>
        <row r="3489">
          <cell r="C3489">
            <v>0</v>
          </cell>
          <cell r="N3489">
            <v>0</v>
          </cell>
          <cell r="O3489">
            <v>0</v>
          </cell>
          <cell r="AP3489">
            <v>0</v>
          </cell>
        </row>
        <row r="3490">
          <cell r="C3490">
            <v>0</v>
          </cell>
          <cell r="N3490">
            <v>0</v>
          </cell>
          <cell r="O3490">
            <v>0</v>
          </cell>
          <cell r="AP3490">
            <v>0</v>
          </cell>
        </row>
        <row r="3491">
          <cell r="C3491">
            <v>0</v>
          </cell>
          <cell r="N3491">
            <v>0</v>
          </cell>
          <cell r="O3491">
            <v>0</v>
          </cell>
          <cell r="AP3491">
            <v>0</v>
          </cell>
        </row>
        <row r="3492">
          <cell r="C3492">
            <v>0</v>
          </cell>
          <cell r="N3492">
            <v>0</v>
          </cell>
          <cell r="O3492">
            <v>0</v>
          </cell>
          <cell r="AP3492">
            <v>0</v>
          </cell>
        </row>
        <row r="3493">
          <cell r="C3493">
            <v>0</v>
          </cell>
          <cell r="N3493">
            <v>0</v>
          </cell>
          <cell r="O3493">
            <v>0</v>
          </cell>
          <cell r="AP3493">
            <v>0</v>
          </cell>
        </row>
        <row r="3494">
          <cell r="C3494">
            <v>0</v>
          </cell>
          <cell r="N3494">
            <v>0</v>
          </cell>
          <cell r="O3494">
            <v>0</v>
          </cell>
          <cell r="AP3494">
            <v>0</v>
          </cell>
        </row>
        <row r="3495">
          <cell r="C3495">
            <v>0</v>
          </cell>
          <cell r="N3495">
            <v>0</v>
          </cell>
          <cell r="O3495">
            <v>0</v>
          </cell>
          <cell r="AP3495">
            <v>0</v>
          </cell>
        </row>
        <row r="3496">
          <cell r="C3496">
            <v>0</v>
          </cell>
          <cell r="N3496">
            <v>0</v>
          </cell>
          <cell r="O3496">
            <v>0</v>
          </cell>
          <cell r="AP3496">
            <v>0</v>
          </cell>
        </row>
        <row r="3497">
          <cell r="C3497">
            <v>0</v>
          </cell>
          <cell r="N3497">
            <v>0</v>
          </cell>
          <cell r="O3497">
            <v>0</v>
          </cell>
          <cell r="AP3497">
            <v>0</v>
          </cell>
        </row>
        <row r="3498">
          <cell r="C3498">
            <v>0</v>
          </cell>
          <cell r="N3498">
            <v>0</v>
          </cell>
          <cell r="O3498">
            <v>0</v>
          </cell>
          <cell r="AP3498">
            <v>0</v>
          </cell>
        </row>
        <row r="3499">
          <cell r="C3499">
            <v>0</v>
          </cell>
          <cell r="N3499">
            <v>0</v>
          </cell>
          <cell r="O3499">
            <v>0</v>
          </cell>
          <cell r="AP3499">
            <v>0</v>
          </cell>
        </row>
        <row r="3500">
          <cell r="C3500">
            <v>0</v>
          </cell>
          <cell r="N3500">
            <v>0</v>
          </cell>
          <cell r="O3500">
            <v>0</v>
          </cell>
          <cell r="AP3500">
            <v>0</v>
          </cell>
        </row>
        <row r="3501">
          <cell r="C3501">
            <v>0</v>
          </cell>
          <cell r="N3501">
            <v>0</v>
          </cell>
          <cell r="O3501">
            <v>0</v>
          </cell>
          <cell r="AP3501">
            <v>0</v>
          </cell>
        </row>
        <row r="3502">
          <cell r="C3502">
            <v>0</v>
          </cell>
          <cell r="N3502">
            <v>0</v>
          </cell>
          <cell r="O3502">
            <v>0</v>
          </cell>
          <cell r="AP3502">
            <v>0</v>
          </cell>
        </row>
        <row r="3503">
          <cell r="C3503">
            <v>0</v>
          </cell>
          <cell r="N3503">
            <v>0</v>
          </cell>
          <cell r="O3503">
            <v>0</v>
          </cell>
          <cell r="AP3503">
            <v>0</v>
          </cell>
        </row>
        <row r="3504">
          <cell r="C3504">
            <v>0</v>
          </cell>
          <cell r="N3504">
            <v>0</v>
          </cell>
          <cell r="O3504">
            <v>0</v>
          </cell>
          <cell r="AP3504">
            <v>0</v>
          </cell>
        </row>
        <row r="3505">
          <cell r="C3505">
            <v>0</v>
          </cell>
          <cell r="N3505">
            <v>0</v>
          </cell>
          <cell r="O3505">
            <v>0</v>
          </cell>
          <cell r="AP3505">
            <v>0</v>
          </cell>
        </row>
        <row r="3506">
          <cell r="C3506">
            <v>0</v>
          </cell>
          <cell r="N3506">
            <v>0</v>
          </cell>
          <cell r="O3506">
            <v>0</v>
          </cell>
          <cell r="AP3506">
            <v>0</v>
          </cell>
        </row>
        <row r="3507">
          <cell r="C3507">
            <v>0</v>
          </cell>
          <cell r="N3507">
            <v>0</v>
          </cell>
          <cell r="O3507">
            <v>0</v>
          </cell>
          <cell r="AP3507">
            <v>0</v>
          </cell>
        </row>
        <row r="3508">
          <cell r="C3508">
            <v>0</v>
          </cell>
          <cell r="N3508">
            <v>0</v>
          </cell>
          <cell r="O3508">
            <v>0</v>
          </cell>
          <cell r="AP3508">
            <v>0</v>
          </cell>
        </row>
        <row r="3509">
          <cell r="C3509">
            <v>0</v>
          </cell>
          <cell r="N3509">
            <v>0</v>
          </cell>
          <cell r="O3509">
            <v>0</v>
          </cell>
          <cell r="AP3509">
            <v>0</v>
          </cell>
        </row>
        <row r="3510">
          <cell r="C3510">
            <v>0</v>
          </cell>
          <cell r="N3510">
            <v>0</v>
          </cell>
          <cell r="O3510">
            <v>0</v>
          </cell>
          <cell r="AP3510">
            <v>0</v>
          </cell>
        </row>
        <row r="3511">
          <cell r="C3511">
            <v>0</v>
          </cell>
          <cell r="N3511">
            <v>0</v>
          </cell>
          <cell r="O3511">
            <v>0</v>
          </cell>
          <cell r="AP3511">
            <v>0</v>
          </cell>
        </row>
        <row r="3512">
          <cell r="C3512">
            <v>0</v>
          </cell>
          <cell r="N3512">
            <v>0</v>
          </cell>
          <cell r="O3512">
            <v>0</v>
          </cell>
          <cell r="AP3512">
            <v>0</v>
          </cell>
        </row>
        <row r="3513">
          <cell r="C3513">
            <v>0</v>
          </cell>
          <cell r="N3513">
            <v>0</v>
          </cell>
          <cell r="O3513">
            <v>0</v>
          </cell>
          <cell r="AP3513">
            <v>0</v>
          </cell>
        </row>
        <row r="3514">
          <cell r="C3514">
            <v>0</v>
          </cell>
          <cell r="N3514">
            <v>0</v>
          </cell>
          <cell r="O3514">
            <v>0</v>
          </cell>
          <cell r="AP3514">
            <v>0</v>
          </cell>
        </row>
        <row r="3515">
          <cell r="C3515">
            <v>0</v>
          </cell>
          <cell r="N3515">
            <v>0</v>
          </cell>
          <cell r="O3515">
            <v>0</v>
          </cell>
          <cell r="AP3515">
            <v>0</v>
          </cell>
        </row>
        <row r="3516">
          <cell r="C3516">
            <v>0</v>
          </cell>
          <cell r="N3516">
            <v>0</v>
          </cell>
          <cell r="O3516">
            <v>0</v>
          </cell>
          <cell r="AP3516">
            <v>0</v>
          </cell>
        </row>
        <row r="3517">
          <cell r="C3517">
            <v>0</v>
          </cell>
          <cell r="N3517">
            <v>0</v>
          </cell>
          <cell r="O3517">
            <v>0</v>
          </cell>
          <cell r="AP3517">
            <v>0</v>
          </cell>
        </row>
        <row r="3518">
          <cell r="C3518">
            <v>0</v>
          </cell>
          <cell r="N3518">
            <v>0</v>
          </cell>
          <cell r="O3518">
            <v>0</v>
          </cell>
          <cell r="AP3518">
            <v>0</v>
          </cell>
        </row>
        <row r="3519">
          <cell r="C3519">
            <v>0</v>
          </cell>
          <cell r="N3519">
            <v>0</v>
          </cell>
          <cell r="O3519">
            <v>0</v>
          </cell>
          <cell r="AP3519">
            <v>0</v>
          </cell>
        </row>
        <row r="3520">
          <cell r="C3520">
            <v>0</v>
          </cell>
          <cell r="N3520">
            <v>0</v>
          </cell>
          <cell r="O3520">
            <v>0</v>
          </cell>
          <cell r="AP3520">
            <v>0</v>
          </cell>
        </row>
        <row r="3521">
          <cell r="C3521">
            <v>0</v>
          </cell>
          <cell r="N3521">
            <v>0</v>
          </cell>
          <cell r="O3521">
            <v>0</v>
          </cell>
          <cell r="AP3521">
            <v>0</v>
          </cell>
        </row>
        <row r="3522">
          <cell r="C3522">
            <v>0</v>
          </cell>
          <cell r="N3522">
            <v>0</v>
          </cell>
          <cell r="O3522">
            <v>0</v>
          </cell>
          <cell r="AP3522">
            <v>0</v>
          </cell>
        </row>
        <row r="3523">
          <cell r="C3523">
            <v>0</v>
          </cell>
          <cell r="N3523">
            <v>0</v>
          </cell>
          <cell r="O3523">
            <v>0</v>
          </cell>
          <cell r="AP3523">
            <v>0</v>
          </cell>
        </row>
        <row r="3524">
          <cell r="C3524">
            <v>0</v>
          </cell>
          <cell r="N3524">
            <v>0</v>
          </cell>
          <cell r="O3524">
            <v>0</v>
          </cell>
          <cell r="AP3524">
            <v>0</v>
          </cell>
        </row>
        <row r="3525">
          <cell r="C3525">
            <v>0</v>
          </cell>
          <cell r="N3525">
            <v>0</v>
          </cell>
          <cell r="O3525">
            <v>0</v>
          </cell>
          <cell r="AP3525">
            <v>0</v>
          </cell>
        </row>
        <row r="3526">
          <cell r="C3526">
            <v>0</v>
          </cell>
          <cell r="N3526">
            <v>0</v>
          </cell>
          <cell r="O3526">
            <v>0</v>
          </cell>
          <cell r="AP3526">
            <v>0</v>
          </cell>
        </row>
        <row r="3527">
          <cell r="C3527">
            <v>0</v>
          </cell>
          <cell r="N3527">
            <v>0</v>
          </cell>
          <cell r="O3527">
            <v>0</v>
          </cell>
          <cell r="AP3527">
            <v>0</v>
          </cell>
        </row>
        <row r="3528">
          <cell r="C3528">
            <v>0</v>
          </cell>
          <cell r="N3528">
            <v>0</v>
          </cell>
          <cell r="O3528">
            <v>0</v>
          </cell>
          <cell r="AP3528">
            <v>0</v>
          </cell>
        </row>
        <row r="3529">
          <cell r="C3529">
            <v>0</v>
          </cell>
          <cell r="N3529">
            <v>0</v>
          </cell>
          <cell r="O3529">
            <v>0</v>
          </cell>
          <cell r="AP3529">
            <v>0</v>
          </cell>
        </row>
        <row r="3530">
          <cell r="C3530">
            <v>0</v>
          </cell>
          <cell r="N3530">
            <v>0</v>
          </cell>
          <cell r="O3530">
            <v>0</v>
          </cell>
          <cell r="AP3530">
            <v>0</v>
          </cell>
        </row>
        <row r="3531">
          <cell r="C3531">
            <v>0</v>
          </cell>
          <cell r="N3531">
            <v>0</v>
          </cell>
          <cell r="O3531">
            <v>0</v>
          </cell>
          <cell r="AP3531">
            <v>0</v>
          </cell>
        </row>
        <row r="3532">
          <cell r="C3532">
            <v>0</v>
          </cell>
          <cell r="N3532">
            <v>0</v>
          </cell>
          <cell r="O3532">
            <v>0</v>
          </cell>
          <cell r="AP3532">
            <v>0</v>
          </cell>
        </row>
        <row r="3533">
          <cell r="C3533">
            <v>0</v>
          </cell>
          <cell r="N3533">
            <v>0</v>
          </cell>
          <cell r="O3533">
            <v>0</v>
          </cell>
          <cell r="AP3533">
            <v>0</v>
          </cell>
        </row>
        <row r="3534">
          <cell r="C3534">
            <v>0</v>
          </cell>
          <cell r="N3534">
            <v>0</v>
          </cell>
          <cell r="O3534">
            <v>0</v>
          </cell>
          <cell r="AP3534">
            <v>0</v>
          </cell>
        </row>
        <row r="3535">
          <cell r="C3535">
            <v>0</v>
          </cell>
          <cell r="N3535">
            <v>0</v>
          </cell>
          <cell r="O3535">
            <v>0</v>
          </cell>
          <cell r="AP3535">
            <v>0</v>
          </cell>
        </row>
        <row r="3536">
          <cell r="C3536">
            <v>0</v>
          </cell>
          <cell r="N3536">
            <v>0</v>
          </cell>
          <cell r="O3536">
            <v>0</v>
          </cell>
          <cell r="AP3536">
            <v>0</v>
          </cell>
        </row>
        <row r="3537">
          <cell r="C3537">
            <v>0</v>
          </cell>
          <cell r="N3537">
            <v>0</v>
          </cell>
          <cell r="O3537">
            <v>0</v>
          </cell>
          <cell r="AP3537">
            <v>0</v>
          </cell>
        </row>
        <row r="3538">
          <cell r="C3538">
            <v>0</v>
          </cell>
          <cell r="N3538">
            <v>0</v>
          </cell>
          <cell r="O3538">
            <v>0</v>
          </cell>
          <cell r="AP3538">
            <v>0</v>
          </cell>
        </row>
        <row r="3539">
          <cell r="C3539">
            <v>0</v>
          </cell>
          <cell r="N3539">
            <v>0</v>
          </cell>
          <cell r="O3539">
            <v>0</v>
          </cell>
          <cell r="AP3539">
            <v>0</v>
          </cell>
        </row>
        <row r="3540">
          <cell r="C3540">
            <v>0</v>
          </cell>
          <cell r="N3540">
            <v>0</v>
          </cell>
          <cell r="O3540">
            <v>0</v>
          </cell>
          <cell r="AP3540">
            <v>0</v>
          </cell>
        </row>
        <row r="3541">
          <cell r="C3541">
            <v>0</v>
          </cell>
          <cell r="N3541">
            <v>0</v>
          </cell>
          <cell r="O3541">
            <v>0</v>
          </cell>
          <cell r="AP3541">
            <v>0</v>
          </cell>
        </row>
        <row r="3542">
          <cell r="C3542">
            <v>0</v>
          </cell>
          <cell r="N3542">
            <v>0</v>
          </cell>
          <cell r="O3542">
            <v>0</v>
          </cell>
          <cell r="AP3542">
            <v>0</v>
          </cell>
        </row>
        <row r="3543">
          <cell r="C3543">
            <v>0</v>
          </cell>
          <cell r="N3543">
            <v>0</v>
          </cell>
          <cell r="O3543">
            <v>0</v>
          </cell>
          <cell r="AP3543">
            <v>0</v>
          </cell>
        </row>
        <row r="3544">
          <cell r="C3544">
            <v>0</v>
          </cell>
          <cell r="N3544">
            <v>0</v>
          </cell>
          <cell r="O3544">
            <v>0</v>
          </cell>
          <cell r="AP3544">
            <v>0</v>
          </cell>
        </row>
        <row r="3545">
          <cell r="C3545">
            <v>0</v>
          </cell>
          <cell r="N3545">
            <v>0</v>
          </cell>
          <cell r="O3545">
            <v>0</v>
          </cell>
          <cell r="AP3545">
            <v>0</v>
          </cell>
        </row>
        <row r="3546">
          <cell r="C3546">
            <v>0</v>
          </cell>
          <cell r="N3546">
            <v>0</v>
          </cell>
          <cell r="O3546">
            <v>0</v>
          </cell>
          <cell r="AP3546">
            <v>0</v>
          </cell>
        </row>
        <row r="3547">
          <cell r="C3547">
            <v>0</v>
          </cell>
          <cell r="N3547">
            <v>0</v>
          </cell>
          <cell r="O3547">
            <v>0</v>
          </cell>
          <cell r="AP3547">
            <v>0</v>
          </cell>
        </row>
        <row r="3548">
          <cell r="C3548">
            <v>0</v>
          </cell>
          <cell r="N3548">
            <v>0</v>
          </cell>
          <cell r="O3548">
            <v>0</v>
          </cell>
          <cell r="AP3548">
            <v>0</v>
          </cell>
        </row>
        <row r="3549">
          <cell r="C3549">
            <v>0</v>
          </cell>
          <cell r="N3549">
            <v>0</v>
          </cell>
          <cell r="O3549">
            <v>0</v>
          </cell>
          <cell r="AP3549">
            <v>0</v>
          </cell>
        </row>
        <row r="3550">
          <cell r="C3550">
            <v>0</v>
          </cell>
          <cell r="N3550">
            <v>0</v>
          </cell>
          <cell r="O3550">
            <v>0</v>
          </cell>
          <cell r="AP3550">
            <v>0</v>
          </cell>
        </row>
        <row r="3551">
          <cell r="C3551">
            <v>0</v>
          </cell>
          <cell r="N3551">
            <v>0</v>
          </cell>
          <cell r="O3551">
            <v>0</v>
          </cell>
          <cell r="AP3551">
            <v>0</v>
          </cell>
        </row>
        <row r="3552">
          <cell r="C3552">
            <v>0</v>
          </cell>
          <cell r="N3552">
            <v>0</v>
          </cell>
          <cell r="O3552">
            <v>0</v>
          </cell>
          <cell r="AP3552">
            <v>0</v>
          </cell>
        </row>
        <row r="3553">
          <cell r="C3553">
            <v>0</v>
          </cell>
          <cell r="N3553">
            <v>0</v>
          </cell>
          <cell r="O3553">
            <v>0</v>
          </cell>
          <cell r="AP3553">
            <v>0</v>
          </cell>
        </row>
        <row r="3554">
          <cell r="C3554">
            <v>0</v>
          </cell>
          <cell r="N3554">
            <v>0</v>
          </cell>
          <cell r="O3554">
            <v>0</v>
          </cell>
          <cell r="AP3554">
            <v>0</v>
          </cell>
        </row>
        <row r="3555">
          <cell r="C3555">
            <v>0</v>
          </cell>
          <cell r="N3555">
            <v>0</v>
          </cell>
          <cell r="O3555">
            <v>0</v>
          </cell>
          <cell r="AP3555">
            <v>0</v>
          </cell>
        </row>
        <row r="3556">
          <cell r="C3556">
            <v>0</v>
          </cell>
          <cell r="N3556">
            <v>0</v>
          </cell>
          <cell r="O3556">
            <v>0</v>
          </cell>
          <cell r="AP3556">
            <v>0</v>
          </cell>
        </row>
        <row r="3557">
          <cell r="C3557">
            <v>0</v>
          </cell>
          <cell r="N3557">
            <v>0</v>
          </cell>
          <cell r="O3557">
            <v>0</v>
          </cell>
          <cell r="AP3557">
            <v>0</v>
          </cell>
        </row>
        <row r="3558">
          <cell r="C3558">
            <v>0</v>
          </cell>
          <cell r="N3558">
            <v>0</v>
          </cell>
          <cell r="O3558">
            <v>0</v>
          </cell>
          <cell r="AP3558">
            <v>0</v>
          </cell>
        </row>
        <row r="3559">
          <cell r="C3559">
            <v>0</v>
          </cell>
          <cell r="N3559">
            <v>0</v>
          </cell>
          <cell r="O3559">
            <v>0</v>
          </cell>
          <cell r="AP3559">
            <v>0</v>
          </cell>
        </row>
        <row r="3560">
          <cell r="C3560">
            <v>0</v>
          </cell>
          <cell r="N3560">
            <v>0</v>
          </cell>
          <cell r="O3560">
            <v>0</v>
          </cell>
          <cell r="AP3560">
            <v>0</v>
          </cell>
        </row>
        <row r="3561">
          <cell r="C3561">
            <v>0</v>
          </cell>
          <cell r="N3561">
            <v>0</v>
          </cell>
          <cell r="O3561">
            <v>0</v>
          </cell>
          <cell r="AP3561">
            <v>0</v>
          </cell>
        </row>
        <row r="3562">
          <cell r="C3562">
            <v>0</v>
          </cell>
          <cell r="N3562">
            <v>0</v>
          </cell>
          <cell r="O3562">
            <v>0</v>
          </cell>
          <cell r="AP3562">
            <v>0</v>
          </cell>
        </row>
        <row r="3563">
          <cell r="C3563">
            <v>0</v>
          </cell>
          <cell r="N3563">
            <v>0</v>
          </cell>
          <cell r="O3563">
            <v>0</v>
          </cell>
          <cell r="AP3563">
            <v>0</v>
          </cell>
        </row>
        <row r="3564">
          <cell r="C3564">
            <v>0</v>
          </cell>
          <cell r="N3564">
            <v>0</v>
          </cell>
          <cell r="O3564">
            <v>0</v>
          </cell>
          <cell r="AP3564">
            <v>0</v>
          </cell>
        </row>
        <row r="3565">
          <cell r="C3565">
            <v>0</v>
          </cell>
          <cell r="N3565">
            <v>0</v>
          </cell>
          <cell r="O3565">
            <v>0</v>
          </cell>
          <cell r="AP3565">
            <v>0</v>
          </cell>
        </row>
        <row r="3566">
          <cell r="C3566">
            <v>0</v>
          </cell>
          <cell r="N3566">
            <v>0</v>
          </cell>
          <cell r="O3566">
            <v>0</v>
          </cell>
          <cell r="AP3566">
            <v>0</v>
          </cell>
        </row>
        <row r="3567">
          <cell r="C3567">
            <v>0</v>
          </cell>
          <cell r="N3567">
            <v>0</v>
          </cell>
          <cell r="O3567">
            <v>0</v>
          </cell>
          <cell r="AP3567">
            <v>0</v>
          </cell>
        </row>
        <row r="3568">
          <cell r="C3568">
            <v>0</v>
          </cell>
          <cell r="N3568">
            <v>0</v>
          </cell>
          <cell r="O3568">
            <v>0</v>
          </cell>
          <cell r="AP3568">
            <v>0</v>
          </cell>
        </row>
        <row r="3569">
          <cell r="C3569">
            <v>0</v>
          </cell>
          <cell r="N3569">
            <v>0</v>
          </cell>
          <cell r="O3569">
            <v>0</v>
          </cell>
          <cell r="AP3569">
            <v>0</v>
          </cell>
        </row>
        <row r="3570">
          <cell r="C3570">
            <v>0</v>
          </cell>
          <cell r="N3570">
            <v>0</v>
          </cell>
          <cell r="O3570">
            <v>0</v>
          </cell>
          <cell r="AP3570">
            <v>0</v>
          </cell>
        </row>
        <row r="3571">
          <cell r="C3571">
            <v>0</v>
          </cell>
          <cell r="N3571">
            <v>0</v>
          </cell>
          <cell r="O3571">
            <v>0</v>
          </cell>
          <cell r="AP3571">
            <v>0</v>
          </cell>
        </row>
        <row r="3572">
          <cell r="C3572">
            <v>0</v>
          </cell>
          <cell r="N3572">
            <v>0</v>
          </cell>
          <cell r="O3572">
            <v>0</v>
          </cell>
          <cell r="AP3572">
            <v>0</v>
          </cell>
        </row>
        <row r="3573">
          <cell r="C3573">
            <v>0</v>
          </cell>
          <cell r="N3573">
            <v>0</v>
          </cell>
          <cell r="O3573">
            <v>0</v>
          </cell>
          <cell r="AP3573">
            <v>0</v>
          </cell>
        </row>
        <row r="3574">
          <cell r="C3574">
            <v>0</v>
          </cell>
          <cell r="N3574">
            <v>0</v>
          </cell>
          <cell r="O3574">
            <v>0</v>
          </cell>
          <cell r="AP3574">
            <v>0</v>
          </cell>
        </row>
        <row r="3575">
          <cell r="C3575">
            <v>0</v>
          </cell>
          <cell r="N3575">
            <v>0</v>
          </cell>
          <cell r="O3575">
            <v>0</v>
          </cell>
          <cell r="AP3575">
            <v>0</v>
          </cell>
        </row>
        <row r="3576">
          <cell r="C3576">
            <v>0</v>
          </cell>
          <cell r="N3576">
            <v>0</v>
          </cell>
          <cell r="O3576">
            <v>0</v>
          </cell>
          <cell r="AP3576">
            <v>0</v>
          </cell>
        </row>
        <row r="3577">
          <cell r="C3577">
            <v>0</v>
          </cell>
          <cell r="N3577">
            <v>0</v>
          </cell>
          <cell r="O3577">
            <v>0</v>
          </cell>
          <cell r="AP3577">
            <v>0</v>
          </cell>
        </row>
        <row r="3578">
          <cell r="C3578">
            <v>0</v>
          </cell>
          <cell r="N3578">
            <v>0</v>
          </cell>
          <cell r="O3578">
            <v>0</v>
          </cell>
          <cell r="AP3578">
            <v>0</v>
          </cell>
        </row>
        <row r="3579">
          <cell r="C3579">
            <v>0</v>
          </cell>
          <cell r="N3579">
            <v>0</v>
          </cell>
          <cell r="O3579">
            <v>0</v>
          </cell>
          <cell r="AP3579">
            <v>0</v>
          </cell>
        </row>
        <row r="3580">
          <cell r="C3580">
            <v>0</v>
          </cell>
          <cell r="N3580">
            <v>0</v>
          </cell>
          <cell r="O3580">
            <v>0</v>
          </cell>
          <cell r="AP3580">
            <v>0</v>
          </cell>
        </row>
        <row r="3581">
          <cell r="C3581">
            <v>0</v>
          </cell>
          <cell r="N3581">
            <v>0</v>
          </cell>
          <cell r="O3581">
            <v>0</v>
          </cell>
          <cell r="AP3581">
            <v>0</v>
          </cell>
        </row>
        <row r="3582">
          <cell r="C3582">
            <v>0</v>
          </cell>
          <cell r="N3582">
            <v>0</v>
          </cell>
          <cell r="O3582">
            <v>0</v>
          </cell>
          <cell r="AP3582">
            <v>0</v>
          </cell>
        </row>
        <row r="3583">
          <cell r="C3583">
            <v>0</v>
          </cell>
          <cell r="N3583">
            <v>0</v>
          </cell>
          <cell r="O3583">
            <v>0</v>
          </cell>
          <cell r="AP3583">
            <v>0</v>
          </cell>
        </row>
        <row r="3584">
          <cell r="C3584">
            <v>0</v>
          </cell>
          <cell r="N3584">
            <v>0</v>
          </cell>
          <cell r="O3584">
            <v>0</v>
          </cell>
          <cell r="AP3584">
            <v>0</v>
          </cell>
        </row>
        <row r="3585">
          <cell r="C3585">
            <v>0</v>
          </cell>
          <cell r="N3585">
            <v>0</v>
          </cell>
          <cell r="O3585">
            <v>0</v>
          </cell>
          <cell r="AP3585">
            <v>0</v>
          </cell>
        </row>
        <row r="3586">
          <cell r="C3586">
            <v>0</v>
          </cell>
          <cell r="N3586">
            <v>0</v>
          </cell>
          <cell r="O3586">
            <v>0</v>
          </cell>
          <cell r="AP3586">
            <v>0</v>
          </cell>
        </row>
        <row r="3587">
          <cell r="C3587">
            <v>0</v>
          </cell>
          <cell r="N3587">
            <v>0</v>
          </cell>
          <cell r="O3587">
            <v>0</v>
          </cell>
          <cell r="AP3587">
            <v>0</v>
          </cell>
        </row>
        <row r="3588">
          <cell r="C3588">
            <v>0</v>
          </cell>
          <cell r="N3588">
            <v>0</v>
          </cell>
          <cell r="O3588">
            <v>0</v>
          </cell>
          <cell r="AP3588">
            <v>0</v>
          </cell>
        </row>
        <row r="3589">
          <cell r="C3589">
            <v>0</v>
          </cell>
          <cell r="N3589">
            <v>0</v>
          </cell>
          <cell r="O3589">
            <v>0</v>
          </cell>
          <cell r="AP3589">
            <v>0</v>
          </cell>
        </row>
        <row r="3590">
          <cell r="C3590">
            <v>0</v>
          </cell>
          <cell r="N3590">
            <v>0</v>
          </cell>
          <cell r="O3590">
            <v>0</v>
          </cell>
          <cell r="AP3590">
            <v>0</v>
          </cell>
        </row>
        <row r="3591">
          <cell r="C3591">
            <v>0</v>
          </cell>
          <cell r="N3591">
            <v>0</v>
          </cell>
          <cell r="O3591">
            <v>0</v>
          </cell>
          <cell r="AP3591">
            <v>0</v>
          </cell>
        </row>
        <row r="3592">
          <cell r="C3592">
            <v>0</v>
          </cell>
          <cell r="N3592">
            <v>0</v>
          </cell>
          <cell r="O3592">
            <v>0</v>
          </cell>
          <cell r="AP3592">
            <v>0</v>
          </cell>
        </row>
        <row r="3593">
          <cell r="C3593">
            <v>0</v>
          </cell>
          <cell r="N3593">
            <v>0</v>
          </cell>
          <cell r="O3593">
            <v>0</v>
          </cell>
          <cell r="AP3593">
            <v>0</v>
          </cell>
        </row>
        <row r="3594">
          <cell r="C3594">
            <v>0</v>
          </cell>
          <cell r="N3594">
            <v>0</v>
          </cell>
          <cell r="O3594">
            <v>0</v>
          </cell>
          <cell r="AP3594">
            <v>0</v>
          </cell>
        </row>
        <row r="3595">
          <cell r="C3595">
            <v>0</v>
          </cell>
          <cell r="N3595">
            <v>0</v>
          </cell>
          <cell r="O3595">
            <v>0</v>
          </cell>
          <cell r="AP3595">
            <v>0</v>
          </cell>
        </row>
        <row r="3596">
          <cell r="C3596">
            <v>0</v>
          </cell>
          <cell r="N3596">
            <v>0</v>
          </cell>
          <cell r="O3596">
            <v>0</v>
          </cell>
          <cell r="AP3596">
            <v>0</v>
          </cell>
        </row>
        <row r="3597">
          <cell r="C3597">
            <v>0</v>
          </cell>
          <cell r="N3597">
            <v>0</v>
          </cell>
          <cell r="O3597">
            <v>0</v>
          </cell>
          <cell r="AP3597">
            <v>0</v>
          </cell>
        </row>
        <row r="3598">
          <cell r="C3598">
            <v>0</v>
          </cell>
          <cell r="N3598">
            <v>0</v>
          </cell>
          <cell r="O3598">
            <v>0</v>
          </cell>
          <cell r="AP3598">
            <v>0</v>
          </cell>
        </row>
        <row r="3599">
          <cell r="C3599">
            <v>0</v>
          </cell>
          <cell r="N3599">
            <v>0</v>
          </cell>
          <cell r="O3599">
            <v>0</v>
          </cell>
          <cell r="AP3599">
            <v>0</v>
          </cell>
        </row>
        <row r="3600">
          <cell r="C3600">
            <v>0</v>
          </cell>
          <cell r="N3600">
            <v>0</v>
          </cell>
          <cell r="O3600">
            <v>0</v>
          </cell>
          <cell r="AP3600">
            <v>0</v>
          </cell>
        </row>
        <row r="3601">
          <cell r="C3601">
            <v>0</v>
          </cell>
          <cell r="N3601">
            <v>0</v>
          </cell>
          <cell r="O3601">
            <v>0</v>
          </cell>
          <cell r="AP3601">
            <v>0</v>
          </cell>
        </row>
        <row r="3602">
          <cell r="C3602">
            <v>0</v>
          </cell>
          <cell r="N3602">
            <v>0</v>
          </cell>
          <cell r="O3602">
            <v>0</v>
          </cell>
          <cell r="AP3602">
            <v>0</v>
          </cell>
        </row>
        <row r="3603">
          <cell r="C3603">
            <v>0</v>
          </cell>
          <cell r="N3603">
            <v>0</v>
          </cell>
          <cell r="O3603">
            <v>0</v>
          </cell>
          <cell r="AP3603">
            <v>0</v>
          </cell>
        </row>
        <row r="3604">
          <cell r="C3604">
            <v>0</v>
          </cell>
          <cell r="N3604">
            <v>0</v>
          </cell>
          <cell r="O3604">
            <v>0</v>
          </cell>
          <cell r="AP3604">
            <v>0</v>
          </cell>
        </row>
        <row r="3605">
          <cell r="C3605">
            <v>0</v>
          </cell>
          <cell r="N3605">
            <v>0</v>
          </cell>
          <cell r="O3605">
            <v>0</v>
          </cell>
          <cell r="AP3605">
            <v>0</v>
          </cell>
        </row>
        <row r="3606">
          <cell r="C3606">
            <v>0</v>
          </cell>
          <cell r="N3606">
            <v>0</v>
          </cell>
          <cell r="O3606">
            <v>0</v>
          </cell>
          <cell r="AP3606">
            <v>0</v>
          </cell>
        </row>
        <row r="3607">
          <cell r="C3607">
            <v>0</v>
          </cell>
          <cell r="N3607">
            <v>0</v>
          </cell>
          <cell r="O3607">
            <v>0</v>
          </cell>
          <cell r="AP3607">
            <v>0</v>
          </cell>
        </row>
        <row r="3608">
          <cell r="C3608">
            <v>0</v>
          </cell>
          <cell r="N3608">
            <v>0</v>
          </cell>
          <cell r="O3608">
            <v>0</v>
          </cell>
          <cell r="AP3608">
            <v>0</v>
          </cell>
        </row>
        <row r="3609">
          <cell r="C3609">
            <v>0</v>
          </cell>
          <cell r="N3609">
            <v>0</v>
          </cell>
          <cell r="O3609">
            <v>0</v>
          </cell>
          <cell r="AP3609">
            <v>0</v>
          </cell>
        </row>
        <row r="3610">
          <cell r="C3610">
            <v>0</v>
          </cell>
          <cell r="N3610">
            <v>0</v>
          </cell>
          <cell r="O3610">
            <v>0</v>
          </cell>
          <cell r="AP3610">
            <v>0</v>
          </cell>
        </row>
        <row r="3611">
          <cell r="C3611">
            <v>0</v>
          </cell>
          <cell r="N3611">
            <v>0</v>
          </cell>
          <cell r="O3611">
            <v>0</v>
          </cell>
          <cell r="AP3611">
            <v>0</v>
          </cell>
        </row>
        <row r="3612">
          <cell r="C3612">
            <v>0</v>
          </cell>
          <cell r="N3612">
            <v>0</v>
          </cell>
          <cell r="O3612">
            <v>0</v>
          </cell>
          <cell r="AP3612">
            <v>0</v>
          </cell>
        </row>
        <row r="3613">
          <cell r="C3613">
            <v>0</v>
          </cell>
          <cell r="N3613">
            <v>0</v>
          </cell>
          <cell r="O3613">
            <v>0</v>
          </cell>
          <cell r="AP3613">
            <v>0</v>
          </cell>
        </row>
        <row r="3614">
          <cell r="C3614">
            <v>0</v>
          </cell>
          <cell r="N3614">
            <v>0</v>
          </cell>
          <cell r="O3614">
            <v>0</v>
          </cell>
          <cell r="AP3614">
            <v>0</v>
          </cell>
        </row>
        <row r="3615">
          <cell r="C3615">
            <v>0</v>
          </cell>
          <cell r="N3615">
            <v>0</v>
          </cell>
          <cell r="O3615">
            <v>0</v>
          </cell>
          <cell r="AP3615">
            <v>0</v>
          </cell>
        </row>
        <row r="3616">
          <cell r="C3616">
            <v>0</v>
          </cell>
          <cell r="N3616">
            <v>0</v>
          </cell>
          <cell r="O3616">
            <v>0</v>
          </cell>
          <cell r="AP3616">
            <v>0</v>
          </cell>
        </row>
        <row r="3617">
          <cell r="C3617">
            <v>0</v>
          </cell>
          <cell r="N3617">
            <v>0</v>
          </cell>
          <cell r="O3617">
            <v>0</v>
          </cell>
          <cell r="AP3617">
            <v>0</v>
          </cell>
        </row>
        <row r="3618">
          <cell r="C3618">
            <v>0</v>
          </cell>
          <cell r="N3618">
            <v>0</v>
          </cell>
          <cell r="O3618">
            <v>0</v>
          </cell>
          <cell r="AP3618">
            <v>0</v>
          </cell>
        </row>
        <row r="3619">
          <cell r="C3619">
            <v>0</v>
          </cell>
          <cell r="N3619">
            <v>0</v>
          </cell>
          <cell r="O3619">
            <v>0</v>
          </cell>
          <cell r="AP3619">
            <v>0</v>
          </cell>
        </row>
        <row r="3620">
          <cell r="C3620">
            <v>0</v>
          </cell>
          <cell r="N3620">
            <v>0</v>
          </cell>
          <cell r="O3620">
            <v>0</v>
          </cell>
          <cell r="AP3620">
            <v>0</v>
          </cell>
        </row>
        <row r="3621">
          <cell r="C3621">
            <v>0</v>
          </cell>
          <cell r="N3621">
            <v>0</v>
          </cell>
          <cell r="O3621">
            <v>0</v>
          </cell>
          <cell r="AP3621">
            <v>0</v>
          </cell>
        </row>
        <row r="3622">
          <cell r="C3622">
            <v>0</v>
          </cell>
          <cell r="N3622">
            <v>0</v>
          </cell>
          <cell r="O3622">
            <v>0</v>
          </cell>
          <cell r="AP3622">
            <v>0</v>
          </cell>
        </row>
        <row r="3623">
          <cell r="C3623">
            <v>0</v>
          </cell>
          <cell r="N3623">
            <v>0</v>
          </cell>
          <cell r="O3623">
            <v>0</v>
          </cell>
          <cell r="AP3623">
            <v>0</v>
          </cell>
        </row>
        <row r="3624">
          <cell r="C3624">
            <v>0</v>
          </cell>
          <cell r="N3624">
            <v>0</v>
          </cell>
          <cell r="O3624">
            <v>0</v>
          </cell>
          <cell r="AP3624">
            <v>0</v>
          </cell>
        </row>
        <row r="3625">
          <cell r="C3625">
            <v>0</v>
          </cell>
          <cell r="N3625">
            <v>0</v>
          </cell>
          <cell r="O3625">
            <v>0</v>
          </cell>
          <cell r="AP3625">
            <v>0</v>
          </cell>
        </row>
        <row r="3626">
          <cell r="C3626">
            <v>0</v>
          </cell>
          <cell r="N3626">
            <v>0</v>
          </cell>
          <cell r="O3626">
            <v>0</v>
          </cell>
          <cell r="AP3626">
            <v>0</v>
          </cell>
        </row>
        <row r="3627">
          <cell r="C3627">
            <v>0</v>
          </cell>
          <cell r="N3627">
            <v>0</v>
          </cell>
          <cell r="O3627">
            <v>0</v>
          </cell>
          <cell r="AP3627">
            <v>0</v>
          </cell>
        </row>
        <row r="3628">
          <cell r="C3628">
            <v>0</v>
          </cell>
          <cell r="N3628">
            <v>0</v>
          </cell>
          <cell r="O3628">
            <v>0</v>
          </cell>
          <cell r="AP3628">
            <v>0</v>
          </cell>
        </row>
        <row r="3629">
          <cell r="C3629">
            <v>0</v>
          </cell>
          <cell r="N3629">
            <v>0</v>
          </cell>
          <cell r="O3629">
            <v>0</v>
          </cell>
          <cell r="AP3629">
            <v>0</v>
          </cell>
        </row>
        <row r="3630">
          <cell r="C3630">
            <v>0</v>
          </cell>
          <cell r="N3630">
            <v>0</v>
          </cell>
          <cell r="O3630">
            <v>0</v>
          </cell>
          <cell r="AP3630">
            <v>0</v>
          </cell>
        </row>
        <row r="3631">
          <cell r="C3631">
            <v>0</v>
          </cell>
          <cell r="N3631">
            <v>0</v>
          </cell>
          <cell r="O3631">
            <v>0</v>
          </cell>
          <cell r="AP3631">
            <v>0</v>
          </cell>
        </row>
        <row r="3632">
          <cell r="C3632">
            <v>0</v>
          </cell>
          <cell r="N3632">
            <v>0</v>
          </cell>
          <cell r="O3632">
            <v>0</v>
          </cell>
          <cell r="AP3632">
            <v>0</v>
          </cell>
        </row>
        <row r="3633">
          <cell r="C3633">
            <v>0</v>
          </cell>
          <cell r="N3633">
            <v>0</v>
          </cell>
          <cell r="O3633">
            <v>0</v>
          </cell>
          <cell r="AP3633">
            <v>0</v>
          </cell>
        </row>
        <row r="3634">
          <cell r="C3634">
            <v>0</v>
          </cell>
          <cell r="N3634">
            <v>0</v>
          </cell>
          <cell r="O3634">
            <v>0</v>
          </cell>
          <cell r="AP3634">
            <v>0</v>
          </cell>
        </row>
        <row r="3635">
          <cell r="C3635">
            <v>0</v>
          </cell>
          <cell r="N3635">
            <v>0</v>
          </cell>
          <cell r="O3635">
            <v>0</v>
          </cell>
          <cell r="AP3635">
            <v>0</v>
          </cell>
        </row>
        <row r="3636">
          <cell r="C3636">
            <v>0</v>
          </cell>
          <cell r="N3636">
            <v>0</v>
          </cell>
          <cell r="O3636">
            <v>0</v>
          </cell>
          <cell r="AP3636">
            <v>0</v>
          </cell>
        </row>
        <row r="3637">
          <cell r="C3637">
            <v>0</v>
          </cell>
          <cell r="N3637">
            <v>0</v>
          </cell>
          <cell r="O3637">
            <v>0</v>
          </cell>
          <cell r="AP3637">
            <v>0</v>
          </cell>
        </row>
        <row r="3638">
          <cell r="C3638">
            <v>0</v>
          </cell>
          <cell r="N3638">
            <v>0</v>
          </cell>
          <cell r="O3638">
            <v>0</v>
          </cell>
          <cell r="AP3638">
            <v>0</v>
          </cell>
        </row>
        <row r="3639">
          <cell r="C3639">
            <v>0</v>
          </cell>
          <cell r="N3639">
            <v>0</v>
          </cell>
          <cell r="O3639">
            <v>0</v>
          </cell>
          <cell r="AP3639">
            <v>0</v>
          </cell>
        </row>
        <row r="3640">
          <cell r="C3640">
            <v>0</v>
          </cell>
          <cell r="N3640">
            <v>0</v>
          </cell>
          <cell r="O3640">
            <v>0</v>
          </cell>
          <cell r="AP3640">
            <v>0</v>
          </cell>
        </row>
        <row r="3641">
          <cell r="C3641">
            <v>0</v>
          </cell>
          <cell r="N3641">
            <v>0</v>
          </cell>
          <cell r="O3641">
            <v>0</v>
          </cell>
          <cell r="AP3641">
            <v>0</v>
          </cell>
        </row>
        <row r="3642">
          <cell r="C3642">
            <v>0</v>
          </cell>
          <cell r="N3642">
            <v>0</v>
          </cell>
          <cell r="O3642">
            <v>0</v>
          </cell>
          <cell r="AP3642">
            <v>0</v>
          </cell>
        </row>
        <row r="3643">
          <cell r="C3643">
            <v>0</v>
          </cell>
          <cell r="N3643">
            <v>0</v>
          </cell>
          <cell r="O3643">
            <v>0</v>
          </cell>
          <cell r="AP3643">
            <v>0</v>
          </cell>
        </row>
        <row r="3644">
          <cell r="C3644">
            <v>0</v>
          </cell>
          <cell r="N3644">
            <v>0</v>
          </cell>
          <cell r="O3644">
            <v>0</v>
          </cell>
          <cell r="AP3644">
            <v>0</v>
          </cell>
        </row>
        <row r="3645">
          <cell r="C3645">
            <v>0</v>
          </cell>
          <cell r="N3645">
            <v>0</v>
          </cell>
          <cell r="O3645">
            <v>0</v>
          </cell>
          <cell r="AP3645">
            <v>0</v>
          </cell>
        </row>
        <row r="3646">
          <cell r="C3646">
            <v>0</v>
          </cell>
          <cell r="N3646">
            <v>0</v>
          </cell>
          <cell r="O3646">
            <v>0</v>
          </cell>
          <cell r="AP3646">
            <v>0</v>
          </cell>
        </row>
        <row r="3647">
          <cell r="C3647">
            <v>0</v>
          </cell>
          <cell r="N3647">
            <v>0</v>
          </cell>
          <cell r="O3647">
            <v>0</v>
          </cell>
          <cell r="AP3647">
            <v>0</v>
          </cell>
        </row>
        <row r="3648">
          <cell r="C3648">
            <v>0</v>
          </cell>
          <cell r="N3648">
            <v>0</v>
          </cell>
          <cell r="O3648">
            <v>0</v>
          </cell>
          <cell r="AP3648">
            <v>0</v>
          </cell>
        </row>
        <row r="3649">
          <cell r="C3649">
            <v>0</v>
          </cell>
          <cell r="N3649">
            <v>0</v>
          </cell>
          <cell r="O3649">
            <v>0</v>
          </cell>
          <cell r="AP3649">
            <v>0</v>
          </cell>
        </row>
        <row r="3650">
          <cell r="C3650">
            <v>0</v>
          </cell>
          <cell r="N3650">
            <v>0</v>
          </cell>
          <cell r="O3650">
            <v>0</v>
          </cell>
          <cell r="AP3650">
            <v>0</v>
          </cell>
        </row>
        <row r="3651">
          <cell r="C3651">
            <v>0</v>
          </cell>
          <cell r="N3651">
            <v>0</v>
          </cell>
          <cell r="O3651">
            <v>0</v>
          </cell>
          <cell r="AP3651">
            <v>0</v>
          </cell>
        </row>
        <row r="3652">
          <cell r="C3652">
            <v>0</v>
          </cell>
          <cell r="N3652">
            <v>0</v>
          </cell>
          <cell r="O3652">
            <v>0</v>
          </cell>
          <cell r="AP3652">
            <v>0</v>
          </cell>
        </row>
        <row r="3653">
          <cell r="C3653">
            <v>0</v>
          </cell>
          <cell r="N3653">
            <v>0</v>
          </cell>
          <cell r="O3653">
            <v>0</v>
          </cell>
          <cell r="AP3653">
            <v>0</v>
          </cell>
        </row>
        <row r="3654">
          <cell r="C3654">
            <v>0</v>
          </cell>
          <cell r="N3654">
            <v>0</v>
          </cell>
          <cell r="O3654">
            <v>0</v>
          </cell>
          <cell r="AP3654">
            <v>0</v>
          </cell>
        </row>
        <row r="3655">
          <cell r="C3655">
            <v>0</v>
          </cell>
          <cell r="N3655">
            <v>0</v>
          </cell>
          <cell r="O3655">
            <v>0</v>
          </cell>
          <cell r="AP3655">
            <v>0</v>
          </cell>
        </row>
        <row r="3656">
          <cell r="C3656">
            <v>0</v>
          </cell>
          <cell r="N3656">
            <v>0</v>
          </cell>
          <cell r="O3656">
            <v>0</v>
          </cell>
          <cell r="AP3656">
            <v>0</v>
          </cell>
        </row>
        <row r="3657">
          <cell r="C3657">
            <v>0</v>
          </cell>
          <cell r="N3657">
            <v>0</v>
          </cell>
          <cell r="O3657">
            <v>0</v>
          </cell>
          <cell r="AP3657">
            <v>0</v>
          </cell>
        </row>
        <row r="3658">
          <cell r="C3658">
            <v>0</v>
          </cell>
          <cell r="N3658">
            <v>0</v>
          </cell>
          <cell r="O3658">
            <v>0</v>
          </cell>
          <cell r="AP3658">
            <v>0</v>
          </cell>
        </row>
        <row r="3659">
          <cell r="C3659">
            <v>0</v>
          </cell>
          <cell r="N3659">
            <v>0</v>
          </cell>
          <cell r="O3659">
            <v>0</v>
          </cell>
          <cell r="AP3659">
            <v>0</v>
          </cell>
        </row>
        <row r="3660">
          <cell r="C3660">
            <v>0</v>
          </cell>
          <cell r="N3660">
            <v>0</v>
          </cell>
          <cell r="O3660">
            <v>0</v>
          </cell>
          <cell r="AP3660">
            <v>0</v>
          </cell>
        </row>
        <row r="3661">
          <cell r="C3661">
            <v>0</v>
          </cell>
          <cell r="N3661">
            <v>0</v>
          </cell>
          <cell r="O3661">
            <v>0</v>
          </cell>
          <cell r="AP3661">
            <v>0</v>
          </cell>
        </row>
        <row r="3662">
          <cell r="C3662">
            <v>0</v>
          </cell>
          <cell r="N3662">
            <v>0</v>
          </cell>
          <cell r="O3662">
            <v>0</v>
          </cell>
          <cell r="AP3662">
            <v>0</v>
          </cell>
        </row>
        <row r="3663">
          <cell r="C3663">
            <v>0</v>
          </cell>
          <cell r="N3663">
            <v>0</v>
          </cell>
          <cell r="O3663">
            <v>0</v>
          </cell>
          <cell r="AP3663">
            <v>0</v>
          </cell>
        </row>
        <row r="3664">
          <cell r="C3664">
            <v>0</v>
          </cell>
          <cell r="N3664">
            <v>0</v>
          </cell>
          <cell r="O3664">
            <v>0</v>
          </cell>
          <cell r="AP3664">
            <v>0</v>
          </cell>
        </row>
        <row r="3665">
          <cell r="C3665">
            <v>0</v>
          </cell>
          <cell r="N3665">
            <v>0</v>
          </cell>
          <cell r="O3665">
            <v>0</v>
          </cell>
          <cell r="AP3665">
            <v>0</v>
          </cell>
        </row>
        <row r="3666">
          <cell r="C3666">
            <v>0</v>
          </cell>
          <cell r="N3666">
            <v>0</v>
          </cell>
          <cell r="O3666">
            <v>0</v>
          </cell>
          <cell r="AP3666">
            <v>0</v>
          </cell>
        </row>
        <row r="3667">
          <cell r="C3667">
            <v>0</v>
          </cell>
          <cell r="N3667">
            <v>0</v>
          </cell>
          <cell r="O3667">
            <v>0</v>
          </cell>
          <cell r="AP3667">
            <v>0</v>
          </cell>
        </row>
        <row r="3668">
          <cell r="C3668">
            <v>0</v>
          </cell>
          <cell r="N3668">
            <v>0</v>
          </cell>
          <cell r="O3668">
            <v>0</v>
          </cell>
          <cell r="AP3668">
            <v>0</v>
          </cell>
        </row>
        <row r="3669">
          <cell r="C3669">
            <v>0</v>
          </cell>
          <cell r="N3669">
            <v>0</v>
          </cell>
          <cell r="O3669">
            <v>0</v>
          </cell>
          <cell r="AP3669">
            <v>0</v>
          </cell>
        </row>
        <row r="3670">
          <cell r="C3670">
            <v>0</v>
          </cell>
          <cell r="N3670">
            <v>0</v>
          </cell>
          <cell r="O3670">
            <v>0</v>
          </cell>
          <cell r="AP3670">
            <v>0</v>
          </cell>
        </row>
        <row r="3671">
          <cell r="C3671">
            <v>0</v>
          </cell>
          <cell r="N3671">
            <v>0</v>
          </cell>
          <cell r="O3671">
            <v>0</v>
          </cell>
          <cell r="AP3671">
            <v>0</v>
          </cell>
        </row>
        <row r="3672">
          <cell r="C3672">
            <v>0</v>
          </cell>
          <cell r="N3672">
            <v>0</v>
          </cell>
          <cell r="O3672">
            <v>0</v>
          </cell>
          <cell r="AP3672">
            <v>0</v>
          </cell>
        </row>
        <row r="3673">
          <cell r="C3673">
            <v>0</v>
          </cell>
          <cell r="N3673">
            <v>0</v>
          </cell>
          <cell r="O3673">
            <v>0</v>
          </cell>
          <cell r="AP3673">
            <v>0</v>
          </cell>
        </row>
        <row r="3674">
          <cell r="C3674">
            <v>0</v>
          </cell>
          <cell r="N3674">
            <v>0</v>
          </cell>
          <cell r="O3674">
            <v>0</v>
          </cell>
          <cell r="AP3674">
            <v>0</v>
          </cell>
        </row>
        <row r="3675">
          <cell r="C3675">
            <v>0</v>
          </cell>
          <cell r="N3675">
            <v>0</v>
          </cell>
          <cell r="O3675">
            <v>0</v>
          </cell>
          <cell r="AP3675">
            <v>0</v>
          </cell>
        </row>
        <row r="3676">
          <cell r="C3676">
            <v>0</v>
          </cell>
          <cell r="N3676">
            <v>0</v>
          </cell>
          <cell r="O3676">
            <v>0</v>
          </cell>
          <cell r="AP3676">
            <v>0</v>
          </cell>
        </row>
        <row r="3677">
          <cell r="C3677">
            <v>0</v>
          </cell>
          <cell r="N3677">
            <v>0</v>
          </cell>
          <cell r="O3677">
            <v>0</v>
          </cell>
          <cell r="AP3677">
            <v>0</v>
          </cell>
        </row>
        <row r="3678">
          <cell r="C3678">
            <v>0</v>
          </cell>
          <cell r="N3678">
            <v>0</v>
          </cell>
          <cell r="O3678">
            <v>0</v>
          </cell>
          <cell r="AP3678">
            <v>0</v>
          </cell>
        </row>
        <row r="3679">
          <cell r="C3679">
            <v>0</v>
          </cell>
          <cell r="N3679">
            <v>0</v>
          </cell>
          <cell r="O3679">
            <v>0</v>
          </cell>
          <cell r="AP3679">
            <v>0</v>
          </cell>
        </row>
        <row r="3680">
          <cell r="C3680">
            <v>0</v>
          </cell>
          <cell r="N3680">
            <v>0</v>
          </cell>
          <cell r="O3680">
            <v>0</v>
          </cell>
          <cell r="AP3680">
            <v>0</v>
          </cell>
        </row>
        <row r="3681">
          <cell r="C3681">
            <v>0</v>
          </cell>
          <cell r="N3681">
            <v>0</v>
          </cell>
          <cell r="O3681">
            <v>0</v>
          </cell>
          <cell r="AP3681">
            <v>0</v>
          </cell>
        </row>
        <row r="3682">
          <cell r="C3682">
            <v>0</v>
          </cell>
          <cell r="N3682">
            <v>0</v>
          </cell>
          <cell r="O3682">
            <v>0</v>
          </cell>
          <cell r="AP3682">
            <v>0</v>
          </cell>
        </row>
        <row r="3683">
          <cell r="C3683">
            <v>0</v>
          </cell>
          <cell r="N3683">
            <v>0</v>
          </cell>
          <cell r="O3683">
            <v>0</v>
          </cell>
          <cell r="AP3683">
            <v>0</v>
          </cell>
        </row>
        <row r="3684">
          <cell r="C3684">
            <v>0</v>
          </cell>
          <cell r="N3684">
            <v>0</v>
          </cell>
          <cell r="O3684">
            <v>0</v>
          </cell>
          <cell r="AP3684">
            <v>0</v>
          </cell>
        </row>
        <row r="3685">
          <cell r="C3685">
            <v>0</v>
          </cell>
          <cell r="N3685">
            <v>0</v>
          </cell>
          <cell r="O3685">
            <v>0</v>
          </cell>
          <cell r="AP3685">
            <v>0</v>
          </cell>
        </row>
        <row r="3686">
          <cell r="C3686">
            <v>0</v>
          </cell>
          <cell r="N3686">
            <v>0</v>
          </cell>
          <cell r="O3686">
            <v>0</v>
          </cell>
          <cell r="AP3686">
            <v>0</v>
          </cell>
        </row>
        <row r="3687">
          <cell r="C3687">
            <v>0</v>
          </cell>
          <cell r="N3687">
            <v>0</v>
          </cell>
          <cell r="O3687">
            <v>0</v>
          </cell>
          <cell r="AP3687">
            <v>0</v>
          </cell>
        </row>
        <row r="3688">
          <cell r="C3688">
            <v>0</v>
          </cell>
          <cell r="N3688">
            <v>0</v>
          </cell>
          <cell r="O3688">
            <v>0</v>
          </cell>
          <cell r="AP3688">
            <v>0</v>
          </cell>
        </row>
        <row r="3689">
          <cell r="C3689">
            <v>0</v>
          </cell>
          <cell r="N3689">
            <v>0</v>
          </cell>
          <cell r="O3689">
            <v>0</v>
          </cell>
          <cell r="AP3689">
            <v>0</v>
          </cell>
        </row>
        <row r="3690">
          <cell r="C3690">
            <v>0</v>
          </cell>
          <cell r="N3690">
            <v>0</v>
          </cell>
          <cell r="O3690">
            <v>0</v>
          </cell>
          <cell r="AP3690">
            <v>0</v>
          </cell>
        </row>
        <row r="3691">
          <cell r="C3691">
            <v>0</v>
          </cell>
          <cell r="N3691">
            <v>0</v>
          </cell>
          <cell r="O3691">
            <v>0</v>
          </cell>
          <cell r="AP3691">
            <v>0</v>
          </cell>
        </row>
        <row r="3692">
          <cell r="C3692">
            <v>0</v>
          </cell>
          <cell r="N3692">
            <v>0</v>
          </cell>
          <cell r="O3692">
            <v>0</v>
          </cell>
          <cell r="AP3692">
            <v>0</v>
          </cell>
        </row>
        <row r="3693">
          <cell r="C3693">
            <v>0</v>
          </cell>
          <cell r="N3693">
            <v>0</v>
          </cell>
          <cell r="O3693">
            <v>0</v>
          </cell>
          <cell r="AP3693">
            <v>0</v>
          </cell>
        </row>
        <row r="3694">
          <cell r="C3694">
            <v>0</v>
          </cell>
          <cell r="N3694">
            <v>0</v>
          </cell>
          <cell r="O3694">
            <v>0</v>
          </cell>
          <cell r="AP3694">
            <v>0</v>
          </cell>
        </row>
        <row r="3695">
          <cell r="C3695">
            <v>0</v>
          </cell>
          <cell r="N3695">
            <v>0</v>
          </cell>
          <cell r="O3695">
            <v>0</v>
          </cell>
          <cell r="AP3695">
            <v>0</v>
          </cell>
        </row>
        <row r="3696">
          <cell r="C3696">
            <v>0</v>
          </cell>
          <cell r="N3696">
            <v>0</v>
          </cell>
          <cell r="O3696">
            <v>0</v>
          </cell>
          <cell r="AP3696">
            <v>0</v>
          </cell>
        </row>
        <row r="3697">
          <cell r="C3697">
            <v>0</v>
          </cell>
          <cell r="N3697">
            <v>0</v>
          </cell>
          <cell r="O3697">
            <v>0</v>
          </cell>
          <cell r="AP3697">
            <v>0</v>
          </cell>
        </row>
        <row r="3698">
          <cell r="C3698">
            <v>0</v>
          </cell>
          <cell r="N3698">
            <v>0</v>
          </cell>
          <cell r="O3698">
            <v>0</v>
          </cell>
          <cell r="AP3698">
            <v>0</v>
          </cell>
        </row>
        <row r="3699">
          <cell r="C3699">
            <v>0</v>
          </cell>
          <cell r="N3699">
            <v>0</v>
          </cell>
          <cell r="O3699">
            <v>0</v>
          </cell>
          <cell r="AP3699">
            <v>0</v>
          </cell>
        </row>
        <row r="3700">
          <cell r="C3700">
            <v>0</v>
          </cell>
          <cell r="N3700">
            <v>0</v>
          </cell>
          <cell r="O3700">
            <v>0</v>
          </cell>
          <cell r="AP3700">
            <v>0</v>
          </cell>
        </row>
        <row r="3701">
          <cell r="C3701">
            <v>0</v>
          </cell>
          <cell r="N3701">
            <v>0</v>
          </cell>
          <cell r="O3701">
            <v>0</v>
          </cell>
          <cell r="AP3701">
            <v>0</v>
          </cell>
        </row>
        <row r="3702">
          <cell r="C3702">
            <v>0</v>
          </cell>
          <cell r="N3702">
            <v>0</v>
          </cell>
          <cell r="O3702">
            <v>0</v>
          </cell>
          <cell r="AP3702">
            <v>0</v>
          </cell>
        </row>
        <row r="3703">
          <cell r="C3703">
            <v>0</v>
          </cell>
          <cell r="N3703">
            <v>0</v>
          </cell>
          <cell r="O3703">
            <v>0</v>
          </cell>
          <cell r="AP3703">
            <v>0</v>
          </cell>
        </row>
        <row r="3704">
          <cell r="C3704">
            <v>0</v>
          </cell>
          <cell r="N3704">
            <v>0</v>
          </cell>
          <cell r="O3704">
            <v>0</v>
          </cell>
          <cell r="AP3704">
            <v>0</v>
          </cell>
        </row>
        <row r="3705">
          <cell r="C3705">
            <v>0</v>
          </cell>
          <cell r="N3705">
            <v>0</v>
          </cell>
          <cell r="O3705">
            <v>0</v>
          </cell>
          <cell r="AP3705">
            <v>0</v>
          </cell>
        </row>
        <row r="3706">
          <cell r="C3706">
            <v>0</v>
          </cell>
          <cell r="N3706">
            <v>0</v>
          </cell>
          <cell r="O3706">
            <v>0</v>
          </cell>
          <cell r="AP3706">
            <v>0</v>
          </cell>
        </row>
        <row r="3707">
          <cell r="C3707">
            <v>0</v>
          </cell>
          <cell r="N3707">
            <v>0</v>
          </cell>
          <cell r="O3707">
            <v>0</v>
          </cell>
          <cell r="AP3707">
            <v>0</v>
          </cell>
        </row>
        <row r="3708">
          <cell r="C3708">
            <v>0</v>
          </cell>
          <cell r="N3708">
            <v>0</v>
          </cell>
          <cell r="O3708">
            <v>0</v>
          </cell>
          <cell r="AP3708">
            <v>0</v>
          </cell>
        </row>
        <row r="3709">
          <cell r="C3709">
            <v>0</v>
          </cell>
          <cell r="N3709">
            <v>0</v>
          </cell>
          <cell r="O3709">
            <v>0</v>
          </cell>
          <cell r="AP3709">
            <v>0</v>
          </cell>
        </row>
        <row r="3710">
          <cell r="C3710">
            <v>0</v>
          </cell>
          <cell r="N3710">
            <v>0</v>
          </cell>
          <cell r="O3710">
            <v>0</v>
          </cell>
          <cell r="AP3710">
            <v>0</v>
          </cell>
        </row>
        <row r="3711">
          <cell r="C3711">
            <v>0</v>
          </cell>
          <cell r="N3711">
            <v>0</v>
          </cell>
          <cell r="O3711">
            <v>0</v>
          </cell>
          <cell r="AP3711">
            <v>0</v>
          </cell>
        </row>
        <row r="3712">
          <cell r="C3712">
            <v>0</v>
          </cell>
          <cell r="N3712">
            <v>0</v>
          </cell>
          <cell r="O3712">
            <v>0</v>
          </cell>
          <cell r="AP3712">
            <v>0</v>
          </cell>
        </row>
        <row r="3713">
          <cell r="C3713">
            <v>0</v>
          </cell>
          <cell r="N3713">
            <v>0</v>
          </cell>
          <cell r="O3713">
            <v>0</v>
          </cell>
          <cell r="AP3713">
            <v>0</v>
          </cell>
        </row>
        <row r="3714">
          <cell r="C3714">
            <v>0</v>
          </cell>
          <cell r="N3714">
            <v>0</v>
          </cell>
          <cell r="O3714">
            <v>0</v>
          </cell>
          <cell r="AP3714">
            <v>0</v>
          </cell>
        </row>
        <row r="3715">
          <cell r="C3715">
            <v>0</v>
          </cell>
          <cell r="N3715">
            <v>0</v>
          </cell>
          <cell r="O3715">
            <v>0</v>
          </cell>
          <cell r="AP3715">
            <v>0</v>
          </cell>
        </row>
        <row r="3716">
          <cell r="C3716">
            <v>0</v>
          </cell>
          <cell r="N3716">
            <v>0</v>
          </cell>
          <cell r="O3716">
            <v>0</v>
          </cell>
          <cell r="AP3716">
            <v>0</v>
          </cell>
        </row>
        <row r="3717">
          <cell r="C3717">
            <v>0</v>
          </cell>
          <cell r="N3717">
            <v>0</v>
          </cell>
          <cell r="O3717">
            <v>0</v>
          </cell>
          <cell r="AP3717">
            <v>0</v>
          </cell>
        </row>
        <row r="3718">
          <cell r="C3718">
            <v>0</v>
          </cell>
          <cell r="N3718">
            <v>0</v>
          </cell>
          <cell r="O3718">
            <v>0</v>
          </cell>
          <cell r="AP3718">
            <v>0</v>
          </cell>
        </row>
        <row r="3719">
          <cell r="C3719">
            <v>0</v>
          </cell>
          <cell r="N3719">
            <v>0</v>
          </cell>
          <cell r="O3719">
            <v>0</v>
          </cell>
          <cell r="AP3719">
            <v>0</v>
          </cell>
        </row>
        <row r="3720">
          <cell r="C3720">
            <v>0</v>
          </cell>
          <cell r="N3720">
            <v>0</v>
          </cell>
          <cell r="O3720">
            <v>0</v>
          </cell>
          <cell r="AP3720">
            <v>0</v>
          </cell>
        </row>
        <row r="3721">
          <cell r="C3721">
            <v>0</v>
          </cell>
          <cell r="N3721">
            <v>0</v>
          </cell>
          <cell r="O3721">
            <v>0</v>
          </cell>
          <cell r="AP3721">
            <v>0</v>
          </cell>
        </row>
        <row r="3722">
          <cell r="C3722">
            <v>0</v>
          </cell>
          <cell r="N3722">
            <v>0</v>
          </cell>
          <cell r="O3722">
            <v>0</v>
          </cell>
          <cell r="AP3722">
            <v>0</v>
          </cell>
        </row>
        <row r="3723">
          <cell r="C3723">
            <v>0</v>
          </cell>
          <cell r="N3723">
            <v>0</v>
          </cell>
          <cell r="O3723">
            <v>0</v>
          </cell>
          <cell r="AP3723">
            <v>0</v>
          </cell>
        </row>
        <row r="3724">
          <cell r="C3724">
            <v>0</v>
          </cell>
          <cell r="N3724">
            <v>0</v>
          </cell>
          <cell r="O3724">
            <v>0</v>
          </cell>
          <cell r="AP3724">
            <v>0</v>
          </cell>
        </row>
        <row r="3725">
          <cell r="C3725">
            <v>0</v>
          </cell>
          <cell r="N3725">
            <v>0</v>
          </cell>
          <cell r="O3725">
            <v>0</v>
          </cell>
          <cell r="AP3725">
            <v>0</v>
          </cell>
        </row>
        <row r="3726">
          <cell r="C3726">
            <v>0</v>
          </cell>
          <cell r="N3726">
            <v>0</v>
          </cell>
          <cell r="O3726">
            <v>0</v>
          </cell>
          <cell r="AP3726">
            <v>0</v>
          </cell>
        </row>
        <row r="3727">
          <cell r="C3727">
            <v>0</v>
          </cell>
          <cell r="N3727">
            <v>0</v>
          </cell>
          <cell r="O3727">
            <v>0</v>
          </cell>
          <cell r="AP3727">
            <v>0</v>
          </cell>
        </row>
        <row r="3728">
          <cell r="C3728">
            <v>0</v>
          </cell>
          <cell r="N3728">
            <v>0</v>
          </cell>
          <cell r="O3728">
            <v>0</v>
          </cell>
          <cell r="AP3728">
            <v>0</v>
          </cell>
        </row>
        <row r="3729">
          <cell r="C3729">
            <v>0</v>
          </cell>
          <cell r="N3729">
            <v>0</v>
          </cell>
          <cell r="O3729">
            <v>0</v>
          </cell>
          <cell r="AP3729">
            <v>0</v>
          </cell>
        </row>
        <row r="3730">
          <cell r="C3730">
            <v>0</v>
          </cell>
          <cell r="N3730">
            <v>0</v>
          </cell>
          <cell r="O3730">
            <v>0</v>
          </cell>
          <cell r="AP3730">
            <v>0</v>
          </cell>
        </row>
        <row r="3731">
          <cell r="C3731">
            <v>0</v>
          </cell>
          <cell r="N3731">
            <v>0</v>
          </cell>
          <cell r="O3731">
            <v>0</v>
          </cell>
          <cell r="AP3731">
            <v>0</v>
          </cell>
        </row>
        <row r="3732">
          <cell r="C3732">
            <v>0</v>
          </cell>
          <cell r="N3732">
            <v>0</v>
          </cell>
          <cell r="O3732">
            <v>0</v>
          </cell>
          <cell r="AP3732">
            <v>0</v>
          </cell>
        </row>
        <row r="3733">
          <cell r="C3733">
            <v>0</v>
          </cell>
          <cell r="N3733">
            <v>0</v>
          </cell>
          <cell r="O3733">
            <v>0</v>
          </cell>
          <cell r="AP3733">
            <v>0</v>
          </cell>
        </row>
        <row r="3734">
          <cell r="C3734">
            <v>0</v>
          </cell>
          <cell r="N3734">
            <v>0</v>
          </cell>
          <cell r="O3734">
            <v>0</v>
          </cell>
          <cell r="AP3734">
            <v>0</v>
          </cell>
        </row>
        <row r="3735">
          <cell r="C3735">
            <v>0</v>
          </cell>
          <cell r="N3735">
            <v>0</v>
          </cell>
          <cell r="O3735">
            <v>0</v>
          </cell>
          <cell r="AP3735">
            <v>0</v>
          </cell>
        </row>
        <row r="3736">
          <cell r="C3736">
            <v>0</v>
          </cell>
          <cell r="N3736">
            <v>0</v>
          </cell>
          <cell r="O3736">
            <v>0</v>
          </cell>
          <cell r="AP3736">
            <v>0</v>
          </cell>
        </row>
        <row r="3737">
          <cell r="C3737">
            <v>0</v>
          </cell>
          <cell r="N3737">
            <v>0</v>
          </cell>
          <cell r="O3737">
            <v>0</v>
          </cell>
          <cell r="AP3737">
            <v>0</v>
          </cell>
        </row>
        <row r="3738">
          <cell r="C3738">
            <v>0</v>
          </cell>
          <cell r="N3738">
            <v>0</v>
          </cell>
          <cell r="O3738">
            <v>0</v>
          </cell>
          <cell r="AP3738">
            <v>0</v>
          </cell>
        </row>
        <row r="3739">
          <cell r="C3739">
            <v>0</v>
          </cell>
          <cell r="N3739">
            <v>0</v>
          </cell>
          <cell r="O3739">
            <v>0</v>
          </cell>
          <cell r="AP3739">
            <v>0</v>
          </cell>
        </row>
        <row r="3740">
          <cell r="C3740">
            <v>0</v>
          </cell>
          <cell r="N3740">
            <v>0</v>
          </cell>
          <cell r="O3740">
            <v>0</v>
          </cell>
          <cell r="AP3740">
            <v>0</v>
          </cell>
        </row>
        <row r="3741">
          <cell r="C3741">
            <v>0</v>
          </cell>
          <cell r="N3741">
            <v>0</v>
          </cell>
          <cell r="O3741">
            <v>0</v>
          </cell>
          <cell r="AP3741">
            <v>0</v>
          </cell>
        </row>
        <row r="3742">
          <cell r="C3742">
            <v>0</v>
          </cell>
          <cell r="N3742">
            <v>0</v>
          </cell>
          <cell r="O3742">
            <v>0</v>
          </cell>
          <cell r="AP3742">
            <v>0</v>
          </cell>
        </row>
        <row r="3743">
          <cell r="C3743">
            <v>0</v>
          </cell>
          <cell r="N3743">
            <v>0</v>
          </cell>
          <cell r="O3743">
            <v>0</v>
          </cell>
          <cell r="AP3743">
            <v>0</v>
          </cell>
        </row>
        <row r="3744">
          <cell r="C3744">
            <v>0</v>
          </cell>
          <cell r="N3744">
            <v>0</v>
          </cell>
          <cell r="O3744">
            <v>0</v>
          </cell>
          <cell r="AP3744">
            <v>0</v>
          </cell>
        </row>
        <row r="3745">
          <cell r="C3745">
            <v>0</v>
          </cell>
          <cell r="N3745">
            <v>0</v>
          </cell>
          <cell r="O3745">
            <v>0</v>
          </cell>
          <cell r="AP3745">
            <v>0</v>
          </cell>
        </row>
        <row r="3746">
          <cell r="C3746">
            <v>0</v>
          </cell>
          <cell r="N3746">
            <v>0</v>
          </cell>
          <cell r="O3746">
            <v>0</v>
          </cell>
          <cell r="AP3746">
            <v>0</v>
          </cell>
        </row>
        <row r="3747">
          <cell r="C3747">
            <v>0</v>
          </cell>
          <cell r="N3747">
            <v>0</v>
          </cell>
          <cell r="O3747">
            <v>0</v>
          </cell>
          <cell r="AP3747">
            <v>0</v>
          </cell>
        </row>
        <row r="3748">
          <cell r="C3748">
            <v>0</v>
          </cell>
          <cell r="N3748">
            <v>0</v>
          </cell>
          <cell r="O3748">
            <v>0</v>
          </cell>
          <cell r="AP3748">
            <v>0</v>
          </cell>
        </row>
        <row r="3749">
          <cell r="C3749">
            <v>0</v>
          </cell>
          <cell r="N3749">
            <v>0</v>
          </cell>
          <cell r="O3749">
            <v>0</v>
          </cell>
          <cell r="AP3749">
            <v>0</v>
          </cell>
        </row>
        <row r="3750">
          <cell r="C3750">
            <v>0</v>
          </cell>
          <cell r="N3750">
            <v>0</v>
          </cell>
          <cell r="O3750">
            <v>0</v>
          </cell>
          <cell r="AP3750">
            <v>0</v>
          </cell>
        </row>
        <row r="3751">
          <cell r="C3751">
            <v>0</v>
          </cell>
          <cell r="N3751">
            <v>0</v>
          </cell>
          <cell r="O3751">
            <v>0</v>
          </cell>
          <cell r="AP3751">
            <v>0</v>
          </cell>
        </row>
        <row r="3752">
          <cell r="C3752">
            <v>0</v>
          </cell>
          <cell r="N3752">
            <v>0</v>
          </cell>
          <cell r="O3752">
            <v>0</v>
          </cell>
          <cell r="AP3752">
            <v>0</v>
          </cell>
        </row>
        <row r="3753">
          <cell r="C3753">
            <v>0</v>
          </cell>
          <cell r="N3753">
            <v>0</v>
          </cell>
          <cell r="O3753">
            <v>0</v>
          </cell>
          <cell r="AP3753">
            <v>0</v>
          </cell>
        </row>
        <row r="3754">
          <cell r="C3754">
            <v>0</v>
          </cell>
          <cell r="N3754">
            <v>0</v>
          </cell>
          <cell r="O3754">
            <v>0</v>
          </cell>
          <cell r="AP3754">
            <v>0</v>
          </cell>
        </row>
        <row r="3755">
          <cell r="C3755">
            <v>0</v>
          </cell>
          <cell r="N3755">
            <v>0</v>
          </cell>
          <cell r="O3755">
            <v>0</v>
          </cell>
          <cell r="AP3755">
            <v>0</v>
          </cell>
        </row>
        <row r="3756">
          <cell r="C3756">
            <v>0</v>
          </cell>
          <cell r="N3756">
            <v>0</v>
          </cell>
          <cell r="O3756">
            <v>0</v>
          </cell>
          <cell r="AP3756">
            <v>0</v>
          </cell>
        </row>
        <row r="3757">
          <cell r="C3757">
            <v>0</v>
          </cell>
          <cell r="N3757">
            <v>0</v>
          </cell>
          <cell r="O3757">
            <v>0</v>
          </cell>
          <cell r="AP3757">
            <v>0</v>
          </cell>
        </row>
        <row r="3758">
          <cell r="C3758">
            <v>0</v>
          </cell>
          <cell r="N3758">
            <v>0</v>
          </cell>
          <cell r="O3758">
            <v>0</v>
          </cell>
          <cell r="AP3758">
            <v>0</v>
          </cell>
        </row>
        <row r="3759">
          <cell r="C3759">
            <v>0</v>
          </cell>
          <cell r="N3759">
            <v>0</v>
          </cell>
          <cell r="O3759">
            <v>0</v>
          </cell>
          <cell r="AP3759">
            <v>0</v>
          </cell>
        </row>
        <row r="3760">
          <cell r="C3760">
            <v>0</v>
          </cell>
          <cell r="N3760">
            <v>0</v>
          </cell>
          <cell r="O3760">
            <v>0</v>
          </cell>
          <cell r="AP3760">
            <v>0</v>
          </cell>
        </row>
        <row r="3761">
          <cell r="C3761">
            <v>0</v>
          </cell>
          <cell r="N3761">
            <v>0</v>
          </cell>
          <cell r="O3761">
            <v>0</v>
          </cell>
          <cell r="AP3761">
            <v>0</v>
          </cell>
        </row>
        <row r="3762">
          <cell r="C3762">
            <v>0</v>
          </cell>
          <cell r="N3762">
            <v>0</v>
          </cell>
          <cell r="O3762">
            <v>0</v>
          </cell>
          <cell r="AP3762">
            <v>0</v>
          </cell>
        </row>
        <row r="3763">
          <cell r="C3763">
            <v>0</v>
          </cell>
          <cell r="N3763">
            <v>0</v>
          </cell>
          <cell r="O3763">
            <v>0</v>
          </cell>
          <cell r="AP3763">
            <v>0</v>
          </cell>
        </row>
        <row r="3764">
          <cell r="C3764">
            <v>0</v>
          </cell>
          <cell r="N3764">
            <v>0</v>
          </cell>
          <cell r="O3764">
            <v>0</v>
          </cell>
          <cell r="AP3764">
            <v>0</v>
          </cell>
        </row>
        <row r="3765">
          <cell r="C3765">
            <v>0</v>
          </cell>
          <cell r="N3765">
            <v>0</v>
          </cell>
          <cell r="O3765">
            <v>0</v>
          </cell>
          <cell r="AP3765">
            <v>0</v>
          </cell>
        </row>
        <row r="3766">
          <cell r="C3766">
            <v>0</v>
          </cell>
          <cell r="N3766">
            <v>0</v>
          </cell>
          <cell r="O3766">
            <v>0</v>
          </cell>
          <cell r="AP3766">
            <v>0</v>
          </cell>
        </row>
        <row r="3767">
          <cell r="C3767">
            <v>0</v>
          </cell>
          <cell r="N3767">
            <v>0</v>
          </cell>
          <cell r="O3767">
            <v>0</v>
          </cell>
          <cell r="AP3767">
            <v>0</v>
          </cell>
        </row>
        <row r="3768">
          <cell r="C3768">
            <v>0</v>
          </cell>
          <cell r="N3768">
            <v>0</v>
          </cell>
          <cell r="O3768">
            <v>0</v>
          </cell>
          <cell r="AP3768">
            <v>0</v>
          </cell>
        </row>
        <row r="3769">
          <cell r="C3769">
            <v>0</v>
          </cell>
          <cell r="N3769">
            <v>0</v>
          </cell>
          <cell r="O3769">
            <v>0</v>
          </cell>
          <cell r="AP3769">
            <v>0</v>
          </cell>
        </row>
        <row r="3770">
          <cell r="C3770">
            <v>0</v>
          </cell>
          <cell r="N3770">
            <v>0</v>
          </cell>
          <cell r="O3770">
            <v>0</v>
          </cell>
          <cell r="AP3770">
            <v>0</v>
          </cell>
        </row>
        <row r="3771">
          <cell r="C3771">
            <v>0</v>
          </cell>
          <cell r="N3771">
            <v>0</v>
          </cell>
          <cell r="O3771">
            <v>0</v>
          </cell>
          <cell r="AP3771">
            <v>0</v>
          </cell>
        </row>
        <row r="3772">
          <cell r="C3772">
            <v>0</v>
          </cell>
          <cell r="N3772">
            <v>0</v>
          </cell>
          <cell r="O3772">
            <v>0</v>
          </cell>
          <cell r="AP3772">
            <v>0</v>
          </cell>
        </row>
        <row r="3773">
          <cell r="C3773">
            <v>0</v>
          </cell>
          <cell r="N3773">
            <v>0</v>
          </cell>
          <cell r="O3773">
            <v>0</v>
          </cell>
          <cell r="AP3773">
            <v>0</v>
          </cell>
        </row>
        <row r="3774">
          <cell r="C3774">
            <v>0</v>
          </cell>
          <cell r="N3774">
            <v>0</v>
          </cell>
          <cell r="O3774">
            <v>0</v>
          </cell>
          <cell r="AP3774">
            <v>0</v>
          </cell>
        </row>
        <row r="3775">
          <cell r="C3775">
            <v>0</v>
          </cell>
          <cell r="N3775">
            <v>0</v>
          </cell>
          <cell r="O3775">
            <v>0</v>
          </cell>
          <cell r="AP3775">
            <v>0</v>
          </cell>
        </row>
        <row r="3776">
          <cell r="C3776">
            <v>0</v>
          </cell>
          <cell r="N3776">
            <v>0</v>
          </cell>
          <cell r="O3776">
            <v>0</v>
          </cell>
          <cell r="AP3776">
            <v>0</v>
          </cell>
        </row>
        <row r="3777">
          <cell r="C3777">
            <v>0</v>
          </cell>
          <cell r="N3777">
            <v>0</v>
          </cell>
          <cell r="O3777">
            <v>0</v>
          </cell>
          <cell r="AP3777">
            <v>0</v>
          </cell>
        </row>
        <row r="3778">
          <cell r="C3778">
            <v>0</v>
          </cell>
          <cell r="N3778">
            <v>0</v>
          </cell>
          <cell r="O3778">
            <v>0</v>
          </cell>
          <cell r="AP3778">
            <v>0</v>
          </cell>
        </row>
        <row r="3779">
          <cell r="C3779">
            <v>0</v>
          </cell>
          <cell r="N3779">
            <v>0</v>
          </cell>
          <cell r="O3779">
            <v>0</v>
          </cell>
          <cell r="AP3779">
            <v>0</v>
          </cell>
        </row>
        <row r="3780">
          <cell r="C3780">
            <v>0</v>
          </cell>
          <cell r="N3780">
            <v>0</v>
          </cell>
          <cell r="O3780">
            <v>0</v>
          </cell>
          <cell r="AP3780">
            <v>0</v>
          </cell>
        </row>
        <row r="3781">
          <cell r="C3781">
            <v>0</v>
          </cell>
          <cell r="N3781">
            <v>0</v>
          </cell>
          <cell r="O3781">
            <v>0</v>
          </cell>
          <cell r="AP3781">
            <v>0</v>
          </cell>
        </row>
        <row r="3782">
          <cell r="C3782">
            <v>0</v>
          </cell>
          <cell r="N3782">
            <v>0</v>
          </cell>
          <cell r="O3782">
            <v>0</v>
          </cell>
          <cell r="AP3782">
            <v>0</v>
          </cell>
        </row>
        <row r="3783">
          <cell r="C3783">
            <v>0</v>
          </cell>
          <cell r="N3783">
            <v>0</v>
          </cell>
          <cell r="O3783">
            <v>0</v>
          </cell>
          <cell r="AP3783">
            <v>0</v>
          </cell>
        </row>
        <row r="3784">
          <cell r="C3784">
            <v>0</v>
          </cell>
          <cell r="N3784">
            <v>0</v>
          </cell>
          <cell r="O3784">
            <v>0</v>
          </cell>
          <cell r="AP3784">
            <v>0</v>
          </cell>
        </row>
        <row r="3785">
          <cell r="C3785">
            <v>0</v>
          </cell>
          <cell r="N3785">
            <v>0</v>
          </cell>
          <cell r="O3785">
            <v>0</v>
          </cell>
          <cell r="AP3785">
            <v>0</v>
          </cell>
        </row>
        <row r="3786">
          <cell r="C3786">
            <v>0</v>
          </cell>
          <cell r="N3786">
            <v>0</v>
          </cell>
          <cell r="O3786">
            <v>0</v>
          </cell>
          <cell r="AP3786">
            <v>0</v>
          </cell>
        </row>
        <row r="3787">
          <cell r="C3787">
            <v>0</v>
          </cell>
          <cell r="N3787">
            <v>0</v>
          </cell>
          <cell r="O3787">
            <v>0</v>
          </cell>
          <cell r="AP3787">
            <v>0</v>
          </cell>
        </row>
        <row r="3788">
          <cell r="C3788">
            <v>0</v>
          </cell>
          <cell r="N3788">
            <v>0</v>
          </cell>
          <cell r="O3788">
            <v>0</v>
          </cell>
          <cell r="AP3788">
            <v>0</v>
          </cell>
        </row>
        <row r="3789">
          <cell r="C3789">
            <v>0</v>
          </cell>
          <cell r="N3789">
            <v>0</v>
          </cell>
          <cell r="O3789">
            <v>0</v>
          </cell>
          <cell r="AP3789">
            <v>0</v>
          </cell>
        </row>
        <row r="3790">
          <cell r="C3790">
            <v>0</v>
          </cell>
          <cell r="N3790">
            <v>0</v>
          </cell>
          <cell r="O3790">
            <v>0</v>
          </cell>
          <cell r="AP3790">
            <v>0</v>
          </cell>
        </row>
        <row r="3791">
          <cell r="C3791">
            <v>0</v>
          </cell>
          <cell r="N3791">
            <v>0</v>
          </cell>
          <cell r="O3791">
            <v>0</v>
          </cell>
          <cell r="AP3791">
            <v>0</v>
          </cell>
        </row>
        <row r="3792">
          <cell r="C3792">
            <v>0</v>
          </cell>
          <cell r="N3792">
            <v>0</v>
          </cell>
          <cell r="O3792">
            <v>0</v>
          </cell>
          <cell r="AP3792">
            <v>0</v>
          </cell>
        </row>
        <row r="3793">
          <cell r="C3793">
            <v>0</v>
          </cell>
          <cell r="N3793">
            <v>0</v>
          </cell>
          <cell r="O3793">
            <v>0</v>
          </cell>
          <cell r="AP3793">
            <v>0</v>
          </cell>
        </row>
        <row r="3794">
          <cell r="C3794">
            <v>0</v>
          </cell>
          <cell r="N3794">
            <v>0</v>
          </cell>
          <cell r="O3794">
            <v>0</v>
          </cell>
          <cell r="AP3794">
            <v>0</v>
          </cell>
        </row>
        <row r="3795">
          <cell r="C3795">
            <v>0</v>
          </cell>
          <cell r="N3795">
            <v>0</v>
          </cell>
          <cell r="O3795">
            <v>0</v>
          </cell>
          <cell r="AP3795">
            <v>0</v>
          </cell>
        </row>
        <row r="3796">
          <cell r="C3796">
            <v>0</v>
          </cell>
          <cell r="N3796">
            <v>0</v>
          </cell>
          <cell r="O3796">
            <v>0</v>
          </cell>
          <cell r="AP3796">
            <v>0</v>
          </cell>
        </row>
        <row r="3797">
          <cell r="C3797">
            <v>0</v>
          </cell>
          <cell r="N3797">
            <v>0</v>
          </cell>
          <cell r="O3797">
            <v>0</v>
          </cell>
          <cell r="AP3797">
            <v>0</v>
          </cell>
        </row>
        <row r="3798">
          <cell r="C3798">
            <v>0</v>
          </cell>
          <cell r="N3798">
            <v>0</v>
          </cell>
          <cell r="O3798">
            <v>0</v>
          </cell>
          <cell r="AP3798">
            <v>0</v>
          </cell>
        </row>
        <row r="3799">
          <cell r="C3799">
            <v>0</v>
          </cell>
          <cell r="N3799">
            <v>0</v>
          </cell>
          <cell r="O3799">
            <v>0</v>
          </cell>
          <cell r="AP3799">
            <v>0</v>
          </cell>
        </row>
        <row r="3800">
          <cell r="C3800">
            <v>0</v>
          </cell>
          <cell r="N3800">
            <v>0</v>
          </cell>
          <cell r="O3800">
            <v>0</v>
          </cell>
          <cell r="AP3800">
            <v>0</v>
          </cell>
        </row>
        <row r="3801">
          <cell r="C3801">
            <v>0</v>
          </cell>
          <cell r="N3801">
            <v>0</v>
          </cell>
          <cell r="O3801">
            <v>0</v>
          </cell>
          <cell r="AP3801">
            <v>0</v>
          </cell>
        </row>
        <row r="3802">
          <cell r="C3802">
            <v>0</v>
          </cell>
          <cell r="N3802">
            <v>0</v>
          </cell>
          <cell r="O3802">
            <v>0</v>
          </cell>
          <cell r="AP3802">
            <v>0</v>
          </cell>
        </row>
        <row r="3803">
          <cell r="C3803">
            <v>0</v>
          </cell>
          <cell r="N3803">
            <v>0</v>
          </cell>
          <cell r="O3803">
            <v>0</v>
          </cell>
          <cell r="AP3803">
            <v>0</v>
          </cell>
        </row>
        <row r="3804">
          <cell r="C3804">
            <v>0</v>
          </cell>
          <cell r="N3804">
            <v>0</v>
          </cell>
          <cell r="O3804">
            <v>0</v>
          </cell>
          <cell r="AP3804">
            <v>0</v>
          </cell>
        </row>
        <row r="3805">
          <cell r="C3805">
            <v>0</v>
          </cell>
          <cell r="N3805">
            <v>0</v>
          </cell>
          <cell r="O3805">
            <v>0</v>
          </cell>
          <cell r="AP3805">
            <v>0</v>
          </cell>
        </row>
        <row r="3806">
          <cell r="C3806">
            <v>0</v>
          </cell>
          <cell r="N3806">
            <v>0</v>
          </cell>
          <cell r="O3806">
            <v>0</v>
          </cell>
          <cell r="AP3806">
            <v>0</v>
          </cell>
        </row>
        <row r="3807">
          <cell r="C3807">
            <v>0</v>
          </cell>
          <cell r="N3807">
            <v>0</v>
          </cell>
          <cell r="O3807">
            <v>0</v>
          </cell>
          <cell r="AP3807">
            <v>0</v>
          </cell>
        </row>
        <row r="3808">
          <cell r="C3808">
            <v>0</v>
          </cell>
          <cell r="N3808">
            <v>0</v>
          </cell>
          <cell r="O3808">
            <v>0</v>
          </cell>
          <cell r="AP3808">
            <v>0</v>
          </cell>
        </row>
        <row r="3809">
          <cell r="C3809">
            <v>0</v>
          </cell>
          <cell r="N3809">
            <v>0</v>
          </cell>
          <cell r="O3809">
            <v>0</v>
          </cell>
          <cell r="AP3809">
            <v>0</v>
          </cell>
        </row>
        <row r="3810">
          <cell r="C3810">
            <v>0</v>
          </cell>
          <cell r="N3810">
            <v>0</v>
          </cell>
          <cell r="O3810">
            <v>0</v>
          </cell>
          <cell r="AP3810">
            <v>0</v>
          </cell>
        </row>
        <row r="3811">
          <cell r="C3811">
            <v>0</v>
          </cell>
          <cell r="N3811">
            <v>0</v>
          </cell>
          <cell r="O3811">
            <v>0</v>
          </cell>
          <cell r="AP3811">
            <v>0</v>
          </cell>
        </row>
        <row r="3812">
          <cell r="C3812">
            <v>0</v>
          </cell>
          <cell r="N3812">
            <v>0</v>
          </cell>
          <cell r="O3812">
            <v>0</v>
          </cell>
          <cell r="AP3812">
            <v>0</v>
          </cell>
        </row>
        <row r="3813">
          <cell r="C3813">
            <v>0</v>
          </cell>
          <cell r="N3813">
            <v>0</v>
          </cell>
          <cell r="O3813">
            <v>0</v>
          </cell>
          <cell r="AP3813">
            <v>0</v>
          </cell>
        </row>
        <row r="3814">
          <cell r="C3814">
            <v>0</v>
          </cell>
          <cell r="N3814">
            <v>0</v>
          </cell>
          <cell r="O3814">
            <v>0</v>
          </cell>
          <cell r="AP3814">
            <v>0</v>
          </cell>
        </row>
        <row r="3815">
          <cell r="C3815">
            <v>0</v>
          </cell>
          <cell r="N3815">
            <v>0</v>
          </cell>
          <cell r="O3815">
            <v>0</v>
          </cell>
          <cell r="AP3815">
            <v>0</v>
          </cell>
        </row>
        <row r="3816">
          <cell r="C3816">
            <v>0</v>
          </cell>
          <cell r="N3816">
            <v>0</v>
          </cell>
          <cell r="O3816">
            <v>0</v>
          </cell>
          <cell r="AP3816">
            <v>0</v>
          </cell>
        </row>
        <row r="3817">
          <cell r="C3817">
            <v>0</v>
          </cell>
          <cell r="N3817">
            <v>0</v>
          </cell>
          <cell r="O3817">
            <v>0</v>
          </cell>
          <cell r="AP3817">
            <v>0</v>
          </cell>
        </row>
        <row r="3818">
          <cell r="C3818">
            <v>0</v>
          </cell>
          <cell r="N3818">
            <v>0</v>
          </cell>
          <cell r="O3818">
            <v>0</v>
          </cell>
          <cell r="AP3818">
            <v>0</v>
          </cell>
        </row>
        <row r="3819">
          <cell r="C3819">
            <v>0</v>
          </cell>
          <cell r="N3819">
            <v>0</v>
          </cell>
          <cell r="O3819">
            <v>0</v>
          </cell>
          <cell r="AP3819">
            <v>0</v>
          </cell>
        </row>
        <row r="3820">
          <cell r="C3820">
            <v>0</v>
          </cell>
          <cell r="N3820">
            <v>0</v>
          </cell>
          <cell r="O3820">
            <v>0</v>
          </cell>
          <cell r="AP3820">
            <v>0</v>
          </cell>
        </row>
        <row r="3821">
          <cell r="C3821">
            <v>0</v>
          </cell>
          <cell r="N3821">
            <v>0</v>
          </cell>
          <cell r="O3821">
            <v>0</v>
          </cell>
          <cell r="AP3821">
            <v>0</v>
          </cell>
        </row>
        <row r="3822">
          <cell r="C3822">
            <v>0</v>
          </cell>
          <cell r="N3822">
            <v>0</v>
          </cell>
          <cell r="O3822">
            <v>0</v>
          </cell>
          <cell r="AP3822">
            <v>0</v>
          </cell>
        </row>
        <row r="3823">
          <cell r="C3823">
            <v>0</v>
          </cell>
          <cell r="N3823">
            <v>0</v>
          </cell>
          <cell r="O3823">
            <v>0</v>
          </cell>
          <cell r="AP3823">
            <v>0</v>
          </cell>
        </row>
        <row r="3824">
          <cell r="C3824">
            <v>0</v>
          </cell>
          <cell r="N3824">
            <v>0</v>
          </cell>
          <cell r="O3824">
            <v>0</v>
          </cell>
          <cell r="AP3824">
            <v>0</v>
          </cell>
        </row>
        <row r="3825">
          <cell r="C3825">
            <v>0</v>
          </cell>
          <cell r="N3825">
            <v>0</v>
          </cell>
          <cell r="O3825">
            <v>0</v>
          </cell>
          <cell r="AP3825">
            <v>0</v>
          </cell>
        </row>
        <row r="3826">
          <cell r="C3826">
            <v>0</v>
          </cell>
          <cell r="N3826">
            <v>0</v>
          </cell>
          <cell r="O3826">
            <v>0</v>
          </cell>
          <cell r="AP3826">
            <v>0</v>
          </cell>
        </row>
        <row r="3827">
          <cell r="C3827">
            <v>0</v>
          </cell>
          <cell r="N3827">
            <v>0</v>
          </cell>
          <cell r="O3827">
            <v>0</v>
          </cell>
          <cell r="AP3827">
            <v>0</v>
          </cell>
        </row>
        <row r="3828">
          <cell r="C3828">
            <v>0</v>
          </cell>
          <cell r="N3828">
            <v>0</v>
          </cell>
          <cell r="O3828">
            <v>0</v>
          </cell>
          <cell r="AP3828">
            <v>0</v>
          </cell>
        </row>
        <row r="3829">
          <cell r="C3829">
            <v>0</v>
          </cell>
          <cell r="N3829">
            <v>0</v>
          </cell>
          <cell r="O3829">
            <v>0</v>
          </cell>
          <cell r="AP3829">
            <v>0</v>
          </cell>
        </row>
        <row r="3830">
          <cell r="C3830">
            <v>0</v>
          </cell>
          <cell r="N3830">
            <v>0</v>
          </cell>
          <cell r="O3830">
            <v>0</v>
          </cell>
          <cell r="AP3830">
            <v>0</v>
          </cell>
        </row>
        <row r="3831">
          <cell r="C3831">
            <v>0</v>
          </cell>
          <cell r="N3831">
            <v>0</v>
          </cell>
          <cell r="O3831">
            <v>0</v>
          </cell>
          <cell r="AP3831">
            <v>0</v>
          </cell>
        </row>
        <row r="3832">
          <cell r="C3832">
            <v>0</v>
          </cell>
          <cell r="N3832">
            <v>0</v>
          </cell>
          <cell r="O3832">
            <v>0</v>
          </cell>
          <cell r="AP3832">
            <v>0</v>
          </cell>
        </row>
        <row r="3833">
          <cell r="C3833">
            <v>0</v>
          </cell>
          <cell r="N3833">
            <v>0</v>
          </cell>
          <cell r="O3833">
            <v>0</v>
          </cell>
          <cell r="AP3833">
            <v>0</v>
          </cell>
        </row>
        <row r="3834">
          <cell r="C3834">
            <v>0</v>
          </cell>
          <cell r="N3834">
            <v>0</v>
          </cell>
          <cell r="O3834">
            <v>0</v>
          </cell>
          <cell r="AP3834">
            <v>0</v>
          </cell>
        </row>
        <row r="3835">
          <cell r="C3835">
            <v>0</v>
          </cell>
          <cell r="N3835">
            <v>0</v>
          </cell>
          <cell r="O3835">
            <v>0</v>
          </cell>
          <cell r="AP3835">
            <v>0</v>
          </cell>
        </row>
        <row r="3836">
          <cell r="C3836">
            <v>0</v>
          </cell>
          <cell r="N3836">
            <v>0</v>
          </cell>
          <cell r="O3836">
            <v>0</v>
          </cell>
          <cell r="AP3836">
            <v>0</v>
          </cell>
        </row>
        <row r="3837">
          <cell r="C3837">
            <v>0</v>
          </cell>
          <cell r="N3837">
            <v>0</v>
          </cell>
          <cell r="O3837">
            <v>0</v>
          </cell>
          <cell r="AP3837">
            <v>0</v>
          </cell>
        </row>
        <row r="3838">
          <cell r="C3838">
            <v>0</v>
          </cell>
          <cell r="N3838">
            <v>0</v>
          </cell>
          <cell r="O3838">
            <v>0</v>
          </cell>
          <cell r="AP3838">
            <v>0</v>
          </cell>
        </row>
        <row r="3839">
          <cell r="C3839">
            <v>0</v>
          </cell>
          <cell r="N3839">
            <v>0</v>
          </cell>
          <cell r="O3839">
            <v>0</v>
          </cell>
          <cell r="AP3839">
            <v>0</v>
          </cell>
        </row>
        <row r="3840">
          <cell r="C3840">
            <v>0</v>
          </cell>
          <cell r="N3840">
            <v>0</v>
          </cell>
          <cell r="O3840">
            <v>0</v>
          </cell>
          <cell r="AP3840">
            <v>0</v>
          </cell>
        </row>
        <row r="3841">
          <cell r="C3841">
            <v>0</v>
          </cell>
          <cell r="N3841">
            <v>0</v>
          </cell>
          <cell r="O3841">
            <v>0</v>
          </cell>
          <cell r="AP3841">
            <v>0</v>
          </cell>
        </row>
        <row r="3842">
          <cell r="C3842">
            <v>0</v>
          </cell>
          <cell r="N3842">
            <v>0</v>
          </cell>
          <cell r="O3842">
            <v>0</v>
          </cell>
          <cell r="AP3842">
            <v>0</v>
          </cell>
        </row>
        <row r="3843">
          <cell r="C3843">
            <v>0</v>
          </cell>
          <cell r="N3843">
            <v>0</v>
          </cell>
          <cell r="O3843">
            <v>0</v>
          </cell>
          <cell r="AP3843">
            <v>0</v>
          </cell>
        </row>
        <row r="3844">
          <cell r="C3844">
            <v>0</v>
          </cell>
          <cell r="N3844">
            <v>0</v>
          </cell>
          <cell r="O3844">
            <v>0</v>
          </cell>
          <cell r="AP3844">
            <v>0</v>
          </cell>
        </row>
        <row r="3845">
          <cell r="C3845">
            <v>0</v>
          </cell>
          <cell r="N3845">
            <v>0</v>
          </cell>
          <cell r="O3845">
            <v>0</v>
          </cell>
          <cell r="AP3845">
            <v>0</v>
          </cell>
        </row>
        <row r="3846">
          <cell r="C3846">
            <v>0</v>
          </cell>
          <cell r="N3846">
            <v>0</v>
          </cell>
          <cell r="O3846">
            <v>0</v>
          </cell>
          <cell r="AP3846">
            <v>0</v>
          </cell>
        </row>
        <row r="3847">
          <cell r="C3847">
            <v>0</v>
          </cell>
          <cell r="N3847">
            <v>0</v>
          </cell>
          <cell r="O3847">
            <v>0</v>
          </cell>
          <cell r="AP3847">
            <v>0</v>
          </cell>
        </row>
        <row r="3848">
          <cell r="C3848">
            <v>0</v>
          </cell>
          <cell r="N3848">
            <v>0</v>
          </cell>
          <cell r="O3848">
            <v>0</v>
          </cell>
          <cell r="AP3848">
            <v>0</v>
          </cell>
        </row>
        <row r="3849">
          <cell r="C3849">
            <v>0</v>
          </cell>
          <cell r="N3849">
            <v>0</v>
          </cell>
          <cell r="O3849">
            <v>0</v>
          </cell>
          <cell r="AP3849">
            <v>0</v>
          </cell>
        </row>
        <row r="3850">
          <cell r="C3850">
            <v>0</v>
          </cell>
          <cell r="N3850">
            <v>0</v>
          </cell>
          <cell r="O3850">
            <v>0</v>
          </cell>
          <cell r="AP3850">
            <v>0</v>
          </cell>
        </row>
        <row r="3851">
          <cell r="C3851">
            <v>0</v>
          </cell>
          <cell r="N3851">
            <v>0</v>
          </cell>
          <cell r="O3851">
            <v>0</v>
          </cell>
          <cell r="AP3851">
            <v>0</v>
          </cell>
        </row>
        <row r="3852">
          <cell r="C3852">
            <v>0</v>
          </cell>
          <cell r="N3852">
            <v>0</v>
          </cell>
          <cell r="O3852">
            <v>0</v>
          </cell>
          <cell r="AP3852">
            <v>0</v>
          </cell>
        </row>
        <row r="3853">
          <cell r="C3853">
            <v>0</v>
          </cell>
          <cell r="N3853">
            <v>0</v>
          </cell>
          <cell r="O3853">
            <v>0</v>
          </cell>
          <cell r="AP3853">
            <v>0</v>
          </cell>
        </row>
        <row r="3854">
          <cell r="C3854">
            <v>0</v>
          </cell>
          <cell r="N3854">
            <v>0</v>
          </cell>
          <cell r="O3854">
            <v>0</v>
          </cell>
          <cell r="AP3854">
            <v>0</v>
          </cell>
        </row>
        <row r="3855">
          <cell r="C3855">
            <v>0</v>
          </cell>
          <cell r="N3855">
            <v>0</v>
          </cell>
          <cell r="O3855">
            <v>0</v>
          </cell>
          <cell r="AP3855">
            <v>0</v>
          </cell>
        </row>
        <row r="3856">
          <cell r="C3856">
            <v>0</v>
          </cell>
          <cell r="N3856">
            <v>0</v>
          </cell>
          <cell r="O3856">
            <v>0</v>
          </cell>
          <cell r="AP3856">
            <v>0</v>
          </cell>
        </row>
        <row r="3857">
          <cell r="C3857">
            <v>0</v>
          </cell>
          <cell r="N3857">
            <v>0</v>
          </cell>
          <cell r="O3857">
            <v>0</v>
          </cell>
          <cell r="AP3857">
            <v>0</v>
          </cell>
        </row>
        <row r="3858">
          <cell r="C3858">
            <v>0</v>
          </cell>
          <cell r="N3858">
            <v>0</v>
          </cell>
          <cell r="O3858">
            <v>0</v>
          </cell>
          <cell r="AP3858">
            <v>0</v>
          </cell>
        </row>
        <row r="3859">
          <cell r="C3859">
            <v>0</v>
          </cell>
          <cell r="N3859">
            <v>0</v>
          </cell>
          <cell r="O3859">
            <v>0</v>
          </cell>
          <cell r="AP3859">
            <v>0</v>
          </cell>
        </row>
        <row r="3860">
          <cell r="C3860">
            <v>0</v>
          </cell>
          <cell r="N3860">
            <v>0</v>
          </cell>
          <cell r="O3860">
            <v>0</v>
          </cell>
          <cell r="AP3860">
            <v>0</v>
          </cell>
        </row>
        <row r="3861">
          <cell r="C3861">
            <v>0</v>
          </cell>
          <cell r="N3861">
            <v>0</v>
          </cell>
          <cell r="O3861">
            <v>0</v>
          </cell>
          <cell r="AP3861">
            <v>0</v>
          </cell>
        </row>
        <row r="3862">
          <cell r="C3862">
            <v>0</v>
          </cell>
          <cell r="N3862">
            <v>0</v>
          </cell>
          <cell r="O3862">
            <v>0</v>
          </cell>
          <cell r="AP3862">
            <v>0</v>
          </cell>
        </row>
        <row r="3863">
          <cell r="C3863">
            <v>0</v>
          </cell>
          <cell r="N3863">
            <v>0</v>
          </cell>
          <cell r="O3863">
            <v>0</v>
          </cell>
          <cell r="AP3863">
            <v>0</v>
          </cell>
        </row>
        <row r="3864">
          <cell r="C3864">
            <v>0</v>
          </cell>
          <cell r="N3864">
            <v>0</v>
          </cell>
          <cell r="O3864">
            <v>0</v>
          </cell>
          <cell r="AP3864">
            <v>0</v>
          </cell>
        </row>
        <row r="3865">
          <cell r="C3865">
            <v>0</v>
          </cell>
          <cell r="N3865">
            <v>0</v>
          </cell>
          <cell r="O3865">
            <v>0</v>
          </cell>
          <cell r="AP3865">
            <v>0</v>
          </cell>
        </row>
        <row r="3866">
          <cell r="C3866">
            <v>0</v>
          </cell>
          <cell r="N3866">
            <v>0</v>
          </cell>
          <cell r="O3866">
            <v>0</v>
          </cell>
          <cell r="AP3866">
            <v>0</v>
          </cell>
        </row>
        <row r="3867">
          <cell r="C3867">
            <v>0</v>
          </cell>
          <cell r="N3867">
            <v>0</v>
          </cell>
          <cell r="O3867">
            <v>0</v>
          </cell>
          <cell r="AP3867">
            <v>0</v>
          </cell>
        </row>
        <row r="3868">
          <cell r="C3868">
            <v>0</v>
          </cell>
          <cell r="N3868">
            <v>0</v>
          </cell>
          <cell r="O3868">
            <v>0</v>
          </cell>
          <cell r="AP3868">
            <v>0</v>
          </cell>
        </row>
        <row r="3869">
          <cell r="C3869">
            <v>0</v>
          </cell>
          <cell r="N3869">
            <v>0</v>
          </cell>
          <cell r="O3869">
            <v>0</v>
          </cell>
          <cell r="AP3869">
            <v>0</v>
          </cell>
        </row>
        <row r="3870">
          <cell r="C3870">
            <v>0</v>
          </cell>
          <cell r="N3870">
            <v>0</v>
          </cell>
          <cell r="O3870">
            <v>0</v>
          </cell>
          <cell r="AP3870">
            <v>0</v>
          </cell>
        </row>
        <row r="3871">
          <cell r="C3871">
            <v>0</v>
          </cell>
          <cell r="N3871">
            <v>0</v>
          </cell>
          <cell r="O3871">
            <v>0</v>
          </cell>
          <cell r="AP3871">
            <v>0</v>
          </cell>
        </row>
        <row r="3872">
          <cell r="C3872">
            <v>0</v>
          </cell>
          <cell r="N3872">
            <v>0</v>
          </cell>
          <cell r="O3872">
            <v>0</v>
          </cell>
          <cell r="AP3872">
            <v>0</v>
          </cell>
        </row>
        <row r="3873">
          <cell r="C3873">
            <v>0</v>
          </cell>
          <cell r="N3873">
            <v>0</v>
          </cell>
          <cell r="O3873">
            <v>0</v>
          </cell>
          <cell r="AP3873">
            <v>0</v>
          </cell>
        </row>
        <row r="3874">
          <cell r="C3874">
            <v>0</v>
          </cell>
          <cell r="N3874">
            <v>0</v>
          </cell>
          <cell r="O3874">
            <v>0</v>
          </cell>
          <cell r="AP3874">
            <v>0</v>
          </cell>
        </row>
        <row r="3875">
          <cell r="C3875">
            <v>0</v>
          </cell>
          <cell r="N3875">
            <v>0</v>
          </cell>
          <cell r="O3875">
            <v>0</v>
          </cell>
          <cell r="AP3875">
            <v>0</v>
          </cell>
        </row>
        <row r="3876">
          <cell r="C3876">
            <v>0</v>
          </cell>
          <cell r="N3876">
            <v>0</v>
          </cell>
          <cell r="O3876">
            <v>0</v>
          </cell>
          <cell r="AP3876">
            <v>0</v>
          </cell>
        </row>
        <row r="3877">
          <cell r="C3877">
            <v>0</v>
          </cell>
          <cell r="N3877">
            <v>0</v>
          </cell>
          <cell r="O3877">
            <v>0</v>
          </cell>
          <cell r="AP3877">
            <v>0</v>
          </cell>
        </row>
        <row r="3878">
          <cell r="C3878">
            <v>0</v>
          </cell>
          <cell r="N3878">
            <v>0</v>
          </cell>
          <cell r="O3878">
            <v>0</v>
          </cell>
          <cell r="AP3878">
            <v>0</v>
          </cell>
        </row>
        <row r="3879">
          <cell r="C3879">
            <v>0</v>
          </cell>
          <cell r="N3879">
            <v>0</v>
          </cell>
          <cell r="O3879">
            <v>0</v>
          </cell>
          <cell r="AP3879">
            <v>0</v>
          </cell>
        </row>
        <row r="3880">
          <cell r="C3880">
            <v>0</v>
          </cell>
          <cell r="N3880">
            <v>0</v>
          </cell>
          <cell r="O3880">
            <v>0</v>
          </cell>
          <cell r="AP3880">
            <v>0</v>
          </cell>
        </row>
        <row r="3881">
          <cell r="C3881">
            <v>0</v>
          </cell>
          <cell r="N3881">
            <v>0</v>
          </cell>
          <cell r="O3881">
            <v>0</v>
          </cell>
          <cell r="AP3881">
            <v>0</v>
          </cell>
        </row>
        <row r="3882">
          <cell r="C3882">
            <v>0</v>
          </cell>
          <cell r="N3882">
            <v>0</v>
          </cell>
          <cell r="O3882">
            <v>0</v>
          </cell>
          <cell r="AP3882">
            <v>0</v>
          </cell>
        </row>
        <row r="3883">
          <cell r="C3883">
            <v>0</v>
          </cell>
          <cell r="N3883">
            <v>0</v>
          </cell>
          <cell r="O3883">
            <v>0</v>
          </cell>
          <cell r="AP3883">
            <v>0</v>
          </cell>
        </row>
        <row r="3884">
          <cell r="C3884">
            <v>0</v>
          </cell>
          <cell r="N3884">
            <v>0</v>
          </cell>
          <cell r="O3884">
            <v>0</v>
          </cell>
          <cell r="AP3884">
            <v>0</v>
          </cell>
        </row>
        <row r="3885">
          <cell r="C3885">
            <v>0</v>
          </cell>
          <cell r="N3885">
            <v>0</v>
          </cell>
          <cell r="O3885">
            <v>0</v>
          </cell>
          <cell r="AP3885">
            <v>0</v>
          </cell>
        </row>
        <row r="3886">
          <cell r="C3886">
            <v>0</v>
          </cell>
          <cell r="N3886">
            <v>0</v>
          </cell>
          <cell r="O3886">
            <v>0</v>
          </cell>
          <cell r="AP3886">
            <v>0</v>
          </cell>
        </row>
        <row r="3887">
          <cell r="C3887">
            <v>0</v>
          </cell>
          <cell r="N3887">
            <v>0</v>
          </cell>
          <cell r="O3887">
            <v>0</v>
          </cell>
          <cell r="AP3887">
            <v>0</v>
          </cell>
        </row>
        <row r="3888">
          <cell r="C3888">
            <v>0</v>
          </cell>
          <cell r="N3888">
            <v>0</v>
          </cell>
          <cell r="O3888">
            <v>0</v>
          </cell>
          <cell r="AP3888">
            <v>0</v>
          </cell>
        </row>
        <row r="3889">
          <cell r="C3889">
            <v>0</v>
          </cell>
          <cell r="N3889">
            <v>0</v>
          </cell>
          <cell r="O3889">
            <v>0</v>
          </cell>
          <cell r="AP3889">
            <v>0</v>
          </cell>
        </row>
        <row r="3890">
          <cell r="C3890">
            <v>0</v>
          </cell>
          <cell r="N3890">
            <v>0</v>
          </cell>
          <cell r="O3890">
            <v>0</v>
          </cell>
          <cell r="AP3890">
            <v>0</v>
          </cell>
        </row>
        <row r="3891">
          <cell r="C3891">
            <v>0</v>
          </cell>
          <cell r="N3891">
            <v>0</v>
          </cell>
          <cell r="O3891">
            <v>0</v>
          </cell>
          <cell r="AP3891">
            <v>0</v>
          </cell>
        </row>
        <row r="3892">
          <cell r="C3892">
            <v>0</v>
          </cell>
          <cell r="N3892">
            <v>0</v>
          </cell>
          <cell r="O3892">
            <v>0</v>
          </cell>
          <cell r="AP3892">
            <v>0</v>
          </cell>
        </row>
        <row r="3893">
          <cell r="C3893">
            <v>0</v>
          </cell>
          <cell r="N3893">
            <v>0</v>
          </cell>
          <cell r="O3893">
            <v>0</v>
          </cell>
          <cell r="AP3893">
            <v>0</v>
          </cell>
        </row>
        <row r="3894">
          <cell r="C3894">
            <v>0</v>
          </cell>
          <cell r="N3894">
            <v>0</v>
          </cell>
          <cell r="O3894">
            <v>0</v>
          </cell>
          <cell r="AP3894">
            <v>0</v>
          </cell>
        </row>
        <row r="3895">
          <cell r="C3895">
            <v>0</v>
          </cell>
          <cell r="N3895">
            <v>0</v>
          </cell>
          <cell r="O3895">
            <v>0</v>
          </cell>
          <cell r="AP3895">
            <v>0</v>
          </cell>
        </row>
        <row r="3896">
          <cell r="C3896">
            <v>0</v>
          </cell>
          <cell r="N3896">
            <v>0</v>
          </cell>
          <cell r="O3896">
            <v>0</v>
          </cell>
          <cell r="AP3896">
            <v>0</v>
          </cell>
        </row>
        <row r="3897">
          <cell r="C3897">
            <v>0</v>
          </cell>
          <cell r="N3897">
            <v>0</v>
          </cell>
          <cell r="O3897">
            <v>0</v>
          </cell>
          <cell r="AP3897">
            <v>0</v>
          </cell>
        </row>
        <row r="3898">
          <cell r="C3898">
            <v>0</v>
          </cell>
          <cell r="N3898">
            <v>0</v>
          </cell>
          <cell r="O3898">
            <v>0</v>
          </cell>
          <cell r="AP3898">
            <v>0</v>
          </cell>
        </row>
        <row r="3899">
          <cell r="C3899">
            <v>0</v>
          </cell>
          <cell r="N3899">
            <v>0</v>
          </cell>
          <cell r="O3899">
            <v>0</v>
          </cell>
          <cell r="AP3899">
            <v>0</v>
          </cell>
        </row>
        <row r="3900">
          <cell r="C3900">
            <v>0</v>
          </cell>
          <cell r="N3900">
            <v>0</v>
          </cell>
          <cell r="O3900">
            <v>0</v>
          </cell>
          <cell r="AP3900">
            <v>0</v>
          </cell>
        </row>
        <row r="3901">
          <cell r="C3901">
            <v>0</v>
          </cell>
          <cell r="N3901">
            <v>0</v>
          </cell>
          <cell r="O3901">
            <v>0</v>
          </cell>
          <cell r="AP3901">
            <v>0</v>
          </cell>
        </row>
        <row r="3902">
          <cell r="C3902">
            <v>0</v>
          </cell>
          <cell r="N3902">
            <v>0</v>
          </cell>
          <cell r="O3902">
            <v>0</v>
          </cell>
          <cell r="AP3902">
            <v>0</v>
          </cell>
        </row>
        <row r="3903">
          <cell r="C3903">
            <v>0</v>
          </cell>
          <cell r="N3903">
            <v>0</v>
          </cell>
          <cell r="O3903">
            <v>0</v>
          </cell>
          <cell r="AP3903">
            <v>0</v>
          </cell>
        </row>
        <row r="3904">
          <cell r="C3904">
            <v>0</v>
          </cell>
          <cell r="N3904">
            <v>0</v>
          </cell>
          <cell r="O3904">
            <v>0</v>
          </cell>
          <cell r="AP3904">
            <v>0</v>
          </cell>
        </row>
        <row r="3905">
          <cell r="C3905">
            <v>0</v>
          </cell>
          <cell r="N3905">
            <v>0</v>
          </cell>
          <cell r="O3905">
            <v>0</v>
          </cell>
          <cell r="AP3905">
            <v>0</v>
          </cell>
        </row>
        <row r="3906">
          <cell r="C3906">
            <v>0</v>
          </cell>
          <cell r="N3906">
            <v>0</v>
          </cell>
          <cell r="O3906">
            <v>0</v>
          </cell>
          <cell r="AP3906">
            <v>0</v>
          </cell>
        </row>
        <row r="3907">
          <cell r="C3907">
            <v>0</v>
          </cell>
          <cell r="N3907">
            <v>0</v>
          </cell>
          <cell r="O3907">
            <v>0</v>
          </cell>
          <cell r="AP3907">
            <v>0</v>
          </cell>
        </row>
        <row r="3908">
          <cell r="C3908">
            <v>0</v>
          </cell>
          <cell r="N3908">
            <v>0</v>
          </cell>
          <cell r="O3908">
            <v>0</v>
          </cell>
          <cell r="AP3908">
            <v>0</v>
          </cell>
        </row>
        <row r="3909">
          <cell r="C3909">
            <v>0</v>
          </cell>
          <cell r="N3909">
            <v>0</v>
          </cell>
          <cell r="O3909">
            <v>0</v>
          </cell>
          <cell r="AP3909">
            <v>0</v>
          </cell>
        </row>
        <row r="3910">
          <cell r="C3910">
            <v>0</v>
          </cell>
          <cell r="N3910">
            <v>0</v>
          </cell>
          <cell r="O3910">
            <v>0</v>
          </cell>
          <cell r="AP3910">
            <v>0</v>
          </cell>
        </row>
        <row r="3911">
          <cell r="C3911">
            <v>0</v>
          </cell>
          <cell r="N3911">
            <v>0</v>
          </cell>
          <cell r="O3911">
            <v>0</v>
          </cell>
          <cell r="AP3911">
            <v>0</v>
          </cell>
        </row>
        <row r="3912">
          <cell r="C3912">
            <v>0</v>
          </cell>
          <cell r="N3912">
            <v>0</v>
          </cell>
          <cell r="O3912">
            <v>0</v>
          </cell>
          <cell r="AP3912">
            <v>0</v>
          </cell>
        </row>
        <row r="3913">
          <cell r="C3913">
            <v>0</v>
          </cell>
          <cell r="N3913">
            <v>0</v>
          </cell>
          <cell r="O3913">
            <v>0</v>
          </cell>
          <cell r="AP3913">
            <v>0</v>
          </cell>
        </row>
        <row r="3914">
          <cell r="C3914">
            <v>0</v>
          </cell>
          <cell r="N3914">
            <v>0</v>
          </cell>
          <cell r="O3914">
            <v>0</v>
          </cell>
          <cell r="AP3914">
            <v>0</v>
          </cell>
        </row>
        <row r="3915">
          <cell r="C3915">
            <v>0</v>
          </cell>
          <cell r="N3915">
            <v>0</v>
          </cell>
          <cell r="O3915">
            <v>0</v>
          </cell>
          <cell r="AP3915">
            <v>0</v>
          </cell>
        </row>
        <row r="3916">
          <cell r="C3916">
            <v>0</v>
          </cell>
          <cell r="N3916">
            <v>0</v>
          </cell>
          <cell r="O3916">
            <v>0</v>
          </cell>
          <cell r="AP3916">
            <v>0</v>
          </cell>
        </row>
        <row r="3917">
          <cell r="C3917">
            <v>0</v>
          </cell>
          <cell r="N3917">
            <v>0</v>
          </cell>
          <cell r="O3917">
            <v>0</v>
          </cell>
          <cell r="AP3917">
            <v>0</v>
          </cell>
        </row>
        <row r="3918">
          <cell r="C3918">
            <v>0</v>
          </cell>
          <cell r="N3918">
            <v>0</v>
          </cell>
          <cell r="O3918">
            <v>0</v>
          </cell>
          <cell r="AP3918">
            <v>0</v>
          </cell>
        </row>
        <row r="3919">
          <cell r="C3919">
            <v>0</v>
          </cell>
          <cell r="N3919">
            <v>0</v>
          </cell>
          <cell r="O3919">
            <v>0</v>
          </cell>
          <cell r="AP3919">
            <v>0</v>
          </cell>
        </row>
        <row r="3920">
          <cell r="C3920">
            <v>0</v>
          </cell>
          <cell r="N3920">
            <v>0</v>
          </cell>
          <cell r="O3920">
            <v>0</v>
          </cell>
          <cell r="AP3920">
            <v>0</v>
          </cell>
        </row>
        <row r="3921">
          <cell r="C3921">
            <v>0</v>
          </cell>
          <cell r="N3921">
            <v>0</v>
          </cell>
          <cell r="O3921">
            <v>0</v>
          </cell>
          <cell r="AP3921">
            <v>0</v>
          </cell>
        </row>
        <row r="3922">
          <cell r="C3922">
            <v>0</v>
          </cell>
          <cell r="N3922">
            <v>0</v>
          </cell>
          <cell r="O3922">
            <v>0</v>
          </cell>
          <cell r="AP3922">
            <v>0</v>
          </cell>
        </row>
        <row r="3923">
          <cell r="C3923">
            <v>0</v>
          </cell>
          <cell r="N3923">
            <v>0</v>
          </cell>
          <cell r="O3923">
            <v>0</v>
          </cell>
          <cell r="AP3923">
            <v>0</v>
          </cell>
        </row>
        <row r="3924">
          <cell r="C3924">
            <v>0</v>
          </cell>
          <cell r="N3924">
            <v>0</v>
          </cell>
          <cell r="O3924">
            <v>0</v>
          </cell>
          <cell r="AP3924">
            <v>0</v>
          </cell>
        </row>
        <row r="3925">
          <cell r="C3925">
            <v>0</v>
          </cell>
          <cell r="N3925">
            <v>0</v>
          </cell>
          <cell r="O3925">
            <v>0</v>
          </cell>
          <cell r="AP3925">
            <v>0</v>
          </cell>
        </row>
        <row r="3926">
          <cell r="C3926">
            <v>0</v>
          </cell>
          <cell r="N3926">
            <v>0</v>
          </cell>
          <cell r="O3926">
            <v>0</v>
          </cell>
          <cell r="AP3926">
            <v>0</v>
          </cell>
        </row>
        <row r="3927">
          <cell r="C3927">
            <v>0</v>
          </cell>
          <cell r="N3927">
            <v>0</v>
          </cell>
          <cell r="O3927">
            <v>0</v>
          </cell>
          <cell r="AP3927">
            <v>0</v>
          </cell>
        </row>
        <row r="3928">
          <cell r="C3928">
            <v>0</v>
          </cell>
          <cell r="N3928">
            <v>0</v>
          </cell>
          <cell r="O3928">
            <v>0</v>
          </cell>
          <cell r="AP3928">
            <v>0</v>
          </cell>
        </row>
        <row r="3929">
          <cell r="C3929">
            <v>0</v>
          </cell>
          <cell r="N3929">
            <v>0</v>
          </cell>
          <cell r="O3929">
            <v>0</v>
          </cell>
          <cell r="AP3929">
            <v>0</v>
          </cell>
        </row>
        <row r="3930">
          <cell r="C3930">
            <v>0</v>
          </cell>
          <cell r="N3930">
            <v>0</v>
          </cell>
          <cell r="O3930">
            <v>0</v>
          </cell>
          <cell r="AP3930">
            <v>0</v>
          </cell>
        </row>
        <row r="3931">
          <cell r="C3931">
            <v>0</v>
          </cell>
          <cell r="N3931">
            <v>0</v>
          </cell>
          <cell r="O3931">
            <v>0</v>
          </cell>
          <cell r="AP3931">
            <v>0</v>
          </cell>
        </row>
        <row r="3932">
          <cell r="C3932">
            <v>0</v>
          </cell>
          <cell r="N3932">
            <v>0</v>
          </cell>
          <cell r="O3932">
            <v>0</v>
          </cell>
          <cell r="AP3932">
            <v>0</v>
          </cell>
        </row>
        <row r="3933">
          <cell r="C3933">
            <v>0</v>
          </cell>
          <cell r="N3933">
            <v>0</v>
          </cell>
          <cell r="O3933">
            <v>0</v>
          </cell>
          <cell r="AP3933">
            <v>0</v>
          </cell>
        </row>
        <row r="3934">
          <cell r="C3934">
            <v>0</v>
          </cell>
          <cell r="N3934">
            <v>0</v>
          </cell>
          <cell r="O3934">
            <v>0</v>
          </cell>
          <cell r="AP3934">
            <v>0</v>
          </cell>
        </row>
        <row r="3935">
          <cell r="C3935">
            <v>0</v>
          </cell>
          <cell r="N3935">
            <v>0</v>
          </cell>
          <cell r="O3935">
            <v>0</v>
          </cell>
          <cell r="AP3935">
            <v>0</v>
          </cell>
        </row>
        <row r="3936">
          <cell r="C3936">
            <v>0</v>
          </cell>
          <cell r="N3936">
            <v>0</v>
          </cell>
          <cell r="O3936">
            <v>0</v>
          </cell>
          <cell r="AP3936">
            <v>0</v>
          </cell>
        </row>
        <row r="3937">
          <cell r="C3937">
            <v>0</v>
          </cell>
          <cell r="N3937">
            <v>0</v>
          </cell>
          <cell r="O3937">
            <v>0</v>
          </cell>
          <cell r="AP3937">
            <v>0</v>
          </cell>
        </row>
        <row r="3938">
          <cell r="C3938">
            <v>0</v>
          </cell>
          <cell r="N3938">
            <v>0</v>
          </cell>
          <cell r="O3938">
            <v>0</v>
          </cell>
          <cell r="AP3938">
            <v>0</v>
          </cell>
        </row>
        <row r="3939">
          <cell r="C3939">
            <v>0</v>
          </cell>
          <cell r="N3939">
            <v>0</v>
          </cell>
          <cell r="O3939">
            <v>0</v>
          </cell>
          <cell r="AP3939">
            <v>0</v>
          </cell>
        </row>
        <row r="3940">
          <cell r="C3940">
            <v>0</v>
          </cell>
          <cell r="N3940">
            <v>0</v>
          </cell>
          <cell r="O3940">
            <v>0</v>
          </cell>
          <cell r="AP3940">
            <v>0</v>
          </cell>
        </row>
        <row r="3941">
          <cell r="C3941">
            <v>0</v>
          </cell>
          <cell r="N3941">
            <v>0</v>
          </cell>
          <cell r="O3941">
            <v>0</v>
          </cell>
          <cell r="AP3941">
            <v>0</v>
          </cell>
        </row>
        <row r="3942">
          <cell r="C3942">
            <v>0</v>
          </cell>
          <cell r="N3942">
            <v>0</v>
          </cell>
          <cell r="O3942">
            <v>0</v>
          </cell>
          <cell r="AP3942">
            <v>0</v>
          </cell>
        </row>
        <row r="3943">
          <cell r="C3943">
            <v>0</v>
          </cell>
          <cell r="N3943">
            <v>0</v>
          </cell>
          <cell r="O3943">
            <v>0</v>
          </cell>
          <cell r="AP3943">
            <v>0</v>
          </cell>
        </row>
        <row r="3944">
          <cell r="C3944">
            <v>0</v>
          </cell>
          <cell r="N3944">
            <v>0</v>
          </cell>
          <cell r="O3944">
            <v>0</v>
          </cell>
          <cell r="AP3944">
            <v>0</v>
          </cell>
        </row>
        <row r="3945">
          <cell r="C3945">
            <v>0</v>
          </cell>
          <cell r="N3945">
            <v>0</v>
          </cell>
          <cell r="O3945">
            <v>0</v>
          </cell>
          <cell r="AP3945">
            <v>0</v>
          </cell>
        </row>
        <row r="3946">
          <cell r="C3946">
            <v>0</v>
          </cell>
          <cell r="N3946">
            <v>0</v>
          </cell>
          <cell r="O3946">
            <v>0</v>
          </cell>
          <cell r="AP3946">
            <v>0</v>
          </cell>
        </row>
        <row r="3947">
          <cell r="C3947">
            <v>0</v>
          </cell>
          <cell r="N3947">
            <v>0</v>
          </cell>
          <cell r="O3947">
            <v>0</v>
          </cell>
          <cell r="AP3947">
            <v>0</v>
          </cell>
        </row>
        <row r="3948">
          <cell r="C3948">
            <v>0</v>
          </cell>
          <cell r="N3948">
            <v>0</v>
          </cell>
          <cell r="O3948">
            <v>0</v>
          </cell>
          <cell r="AP3948">
            <v>0</v>
          </cell>
        </row>
        <row r="3949">
          <cell r="C3949">
            <v>0</v>
          </cell>
          <cell r="N3949">
            <v>0</v>
          </cell>
          <cell r="O3949">
            <v>0</v>
          </cell>
          <cell r="AP3949">
            <v>0</v>
          </cell>
        </row>
        <row r="3950">
          <cell r="C3950">
            <v>0</v>
          </cell>
          <cell r="N3950">
            <v>0</v>
          </cell>
          <cell r="O3950">
            <v>0</v>
          </cell>
          <cell r="AP3950">
            <v>0</v>
          </cell>
        </row>
        <row r="3951">
          <cell r="C3951">
            <v>0</v>
          </cell>
          <cell r="N3951">
            <v>0</v>
          </cell>
          <cell r="O3951">
            <v>0</v>
          </cell>
          <cell r="AP3951">
            <v>0</v>
          </cell>
        </row>
        <row r="3952">
          <cell r="C3952">
            <v>0</v>
          </cell>
          <cell r="N3952">
            <v>0</v>
          </cell>
          <cell r="O3952">
            <v>0</v>
          </cell>
          <cell r="AP3952">
            <v>0</v>
          </cell>
        </row>
        <row r="3953">
          <cell r="C3953">
            <v>0</v>
          </cell>
          <cell r="N3953">
            <v>0</v>
          </cell>
          <cell r="O3953">
            <v>0</v>
          </cell>
          <cell r="AP3953">
            <v>0</v>
          </cell>
        </row>
        <row r="3954">
          <cell r="C3954">
            <v>0</v>
          </cell>
          <cell r="N3954">
            <v>0</v>
          </cell>
          <cell r="O3954">
            <v>0</v>
          </cell>
          <cell r="AP3954">
            <v>0</v>
          </cell>
        </row>
        <row r="3955">
          <cell r="C3955">
            <v>0</v>
          </cell>
          <cell r="N3955">
            <v>0</v>
          </cell>
          <cell r="O3955">
            <v>0</v>
          </cell>
          <cell r="AP3955">
            <v>0</v>
          </cell>
        </row>
        <row r="3956">
          <cell r="C3956">
            <v>0</v>
          </cell>
          <cell r="N3956">
            <v>0</v>
          </cell>
          <cell r="O3956">
            <v>0</v>
          </cell>
          <cell r="AP3956">
            <v>0</v>
          </cell>
        </row>
        <row r="3957">
          <cell r="C3957">
            <v>0</v>
          </cell>
          <cell r="N3957">
            <v>0</v>
          </cell>
          <cell r="O3957">
            <v>0</v>
          </cell>
          <cell r="AP3957">
            <v>0</v>
          </cell>
        </row>
        <row r="3958">
          <cell r="C3958">
            <v>0</v>
          </cell>
          <cell r="N3958">
            <v>0</v>
          </cell>
          <cell r="O3958">
            <v>0</v>
          </cell>
          <cell r="AP3958">
            <v>0</v>
          </cell>
        </row>
        <row r="3959">
          <cell r="C3959">
            <v>0</v>
          </cell>
          <cell r="N3959">
            <v>0</v>
          </cell>
          <cell r="O3959">
            <v>0</v>
          </cell>
          <cell r="AP3959">
            <v>0</v>
          </cell>
        </row>
        <row r="3960">
          <cell r="C3960">
            <v>0</v>
          </cell>
          <cell r="N3960">
            <v>0</v>
          </cell>
          <cell r="O3960">
            <v>0</v>
          </cell>
          <cell r="AP3960">
            <v>0</v>
          </cell>
        </row>
        <row r="3961">
          <cell r="C3961">
            <v>0</v>
          </cell>
          <cell r="N3961">
            <v>0</v>
          </cell>
          <cell r="O3961">
            <v>0</v>
          </cell>
          <cell r="AP3961">
            <v>0</v>
          </cell>
        </row>
        <row r="3962">
          <cell r="C3962">
            <v>0</v>
          </cell>
          <cell r="N3962">
            <v>0</v>
          </cell>
          <cell r="O3962">
            <v>0</v>
          </cell>
          <cell r="AP3962">
            <v>0</v>
          </cell>
        </row>
        <row r="3963">
          <cell r="C3963">
            <v>0</v>
          </cell>
          <cell r="N3963">
            <v>0</v>
          </cell>
          <cell r="O3963">
            <v>0</v>
          </cell>
          <cell r="AP3963">
            <v>0</v>
          </cell>
        </row>
        <row r="3964">
          <cell r="C3964">
            <v>0</v>
          </cell>
          <cell r="N3964">
            <v>0</v>
          </cell>
          <cell r="O3964">
            <v>0</v>
          </cell>
          <cell r="AP3964">
            <v>0</v>
          </cell>
        </row>
        <row r="3965">
          <cell r="C3965">
            <v>0</v>
          </cell>
          <cell r="N3965">
            <v>0</v>
          </cell>
          <cell r="O3965">
            <v>0</v>
          </cell>
          <cell r="AP3965">
            <v>0</v>
          </cell>
        </row>
        <row r="3966">
          <cell r="C3966">
            <v>0</v>
          </cell>
          <cell r="N3966">
            <v>0</v>
          </cell>
          <cell r="O3966">
            <v>0</v>
          </cell>
          <cell r="AP3966">
            <v>0</v>
          </cell>
        </row>
        <row r="3967">
          <cell r="C3967">
            <v>0</v>
          </cell>
          <cell r="N3967">
            <v>0</v>
          </cell>
          <cell r="O3967">
            <v>0</v>
          </cell>
          <cell r="AP3967">
            <v>0</v>
          </cell>
        </row>
        <row r="3968">
          <cell r="C3968">
            <v>0</v>
          </cell>
          <cell r="N3968">
            <v>0</v>
          </cell>
          <cell r="O3968">
            <v>0</v>
          </cell>
          <cell r="AP3968">
            <v>0</v>
          </cell>
        </row>
        <row r="3969">
          <cell r="C3969">
            <v>0</v>
          </cell>
          <cell r="N3969">
            <v>0</v>
          </cell>
          <cell r="O3969">
            <v>0</v>
          </cell>
          <cell r="AP3969">
            <v>0</v>
          </cell>
        </row>
        <row r="3970">
          <cell r="C3970">
            <v>0</v>
          </cell>
          <cell r="N3970">
            <v>0</v>
          </cell>
          <cell r="O3970">
            <v>0</v>
          </cell>
          <cell r="AP3970">
            <v>0</v>
          </cell>
        </row>
        <row r="3971">
          <cell r="C3971">
            <v>0</v>
          </cell>
          <cell r="N3971">
            <v>0</v>
          </cell>
          <cell r="O3971">
            <v>0</v>
          </cell>
          <cell r="AP3971">
            <v>0</v>
          </cell>
        </row>
        <row r="3972">
          <cell r="C3972">
            <v>0</v>
          </cell>
          <cell r="N3972">
            <v>0</v>
          </cell>
          <cell r="O3972">
            <v>0</v>
          </cell>
          <cell r="AP3972">
            <v>0</v>
          </cell>
        </row>
        <row r="3973">
          <cell r="C3973">
            <v>0</v>
          </cell>
          <cell r="N3973">
            <v>0</v>
          </cell>
          <cell r="O3973">
            <v>0</v>
          </cell>
          <cell r="AP3973">
            <v>0</v>
          </cell>
        </row>
        <row r="3974">
          <cell r="C3974">
            <v>0</v>
          </cell>
          <cell r="N3974">
            <v>0</v>
          </cell>
          <cell r="O3974">
            <v>0</v>
          </cell>
          <cell r="AP3974">
            <v>0</v>
          </cell>
        </row>
        <row r="3975">
          <cell r="C3975">
            <v>0</v>
          </cell>
          <cell r="N3975">
            <v>0</v>
          </cell>
          <cell r="O3975">
            <v>0</v>
          </cell>
          <cell r="AP3975">
            <v>0</v>
          </cell>
        </row>
        <row r="3976">
          <cell r="C3976">
            <v>0</v>
          </cell>
          <cell r="N3976">
            <v>0</v>
          </cell>
          <cell r="O3976">
            <v>0</v>
          </cell>
          <cell r="AP3976">
            <v>0</v>
          </cell>
        </row>
        <row r="3977">
          <cell r="C3977">
            <v>0</v>
          </cell>
          <cell r="N3977">
            <v>0</v>
          </cell>
          <cell r="O3977">
            <v>0</v>
          </cell>
          <cell r="AP3977">
            <v>0</v>
          </cell>
        </row>
        <row r="3978">
          <cell r="C3978">
            <v>0</v>
          </cell>
          <cell r="N3978">
            <v>0</v>
          </cell>
          <cell r="O3978">
            <v>0</v>
          </cell>
          <cell r="AP3978">
            <v>0</v>
          </cell>
        </row>
        <row r="3979">
          <cell r="C3979">
            <v>0</v>
          </cell>
          <cell r="N3979">
            <v>0</v>
          </cell>
          <cell r="O3979">
            <v>0</v>
          </cell>
          <cell r="AP3979">
            <v>0</v>
          </cell>
        </row>
        <row r="3980">
          <cell r="C3980">
            <v>0</v>
          </cell>
          <cell r="N3980">
            <v>0</v>
          </cell>
          <cell r="O3980">
            <v>0</v>
          </cell>
          <cell r="AP3980">
            <v>0</v>
          </cell>
        </row>
        <row r="3981">
          <cell r="C3981">
            <v>0</v>
          </cell>
          <cell r="N3981">
            <v>0</v>
          </cell>
          <cell r="O3981">
            <v>0</v>
          </cell>
          <cell r="AP3981">
            <v>0</v>
          </cell>
        </row>
        <row r="3982">
          <cell r="C3982">
            <v>0</v>
          </cell>
          <cell r="N3982">
            <v>0</v>
          </cell>
          <cell r="O3982">
            <v>0</v>
          </cell>
          <cell r="AP3982">
            <v>0</v>
          </cell>
        </row>
        <row r="3983">
          <cell r="C3983">
            <v>0</v>
          </cell>
          <cell r="N3983">
            <v>0</v>
          </cell>
          <cell r="O3983">
            <v>0</v>
          </cell>
          <cell r="AP3983">
            <v>0</v>
          </cell>
        </row>
        <row r="3984">
          <cell r="C3984">
            <v>0</v>
          </cell>
          <cell r="N3984">
            <v>0</v>
          </cell>
          <cell r="O3984">
            <v>0</v>
          </cell>
          <cell r="AP3984">
            <v>0</v>
          </cell>
        </row>
        <row r="3985">
          <cell r="C3985">
            <v>0</v>
          </cell>
          <cell r="N3985">
            <v>0</v>
          </cell>
          <cell r="O3985">
            <v>0</v>
          </cell>
          <cell r="AP3985">
            <v>0</v>
          </cell>
        </row>
        <row r="3986">
          <cell r="C3986">
            <v>0</v>
          </cell>
          <cell r="N3986">
            <v>0</v>
          </cell>
          <cell r="O3986">
            <v>0</v>
          </cell>
          <cell r="AP3986">
            <v>0</v>
          </cell>
        </row>
        <row r="3987">
          <cell r="C3987">
            <v>0</v>
          </cell>
          <cell r="N3987">
            <v>0</v>
          </cell>
          <cell r="O3987">
            <v>0</v>
          </cell>
          <cell r="AP3987">
            <v>0</v>
          </cell>
        </row>
        <row r="3988">
          <cell r="C3988">
            <v>0</v>
          </cell>
          <cell r="N3988">
            <v>0</v>
          </cell>
          <cell r="O3988">
            <v>0</v>
          </cell>
          <cell r="AP3988">
            <v>0</v>
          </cell>
        </row>
        <row r="3989">
          <cell r="C3989">
            <v>0</v>
          </cell>
          <cell r="N3989">
            <v>0</v>
          </cell>
          <cell r="O3989">
            <v>0</v>
          </cell>
          <cell r="AP3989">
            <v>0</v>
          </cell>
        </row>
        <row r="3990">
          <cell r="C3990">
            <v>0</v>
          </cell>
          <cell r="N3990">
            <v>0</v>
          </cell>
          <cell r="O3990">
            <v>0</v>
          </cell>
          <cell r="AP3990">
            <v>0</v>
          </cell>
        </row>
        <row r="3991">
          <cell r="C3991">
            <v>0</v>
          </cell>
          <cell r="N3991">
            <v>0</v>
          </cell>
          <cell r="O3991">
            <v>0</v>
          </cell>
          <cell r="AP3991">
            <v>0</v>
          </cell>
        </row>
        <row r="3992">
          <cell r="C3992">
            <v>0</v>
          </cell>
          <cell r="N3992">
            <v>0</v>
          </cell>
          <cell r="O3992">
            <v>0</v>
          </cell>
          <cell r="AP3992">
            <v>0</v>
          </cell>
        </row>
        <row r="3993">
          <cell r="C3993">
            <v>0</v>
          </cell>
          <cell r="N3993">
            <v>0</v>
          </cell>
          <cell r="O3993">
            <v>0</v>
          </cell>
          <cell r="AP3993">
            <v>0</v>
          </cell>
        </row>
        <row r="3994">
          <cell r="C3994">
            <v>0</v>
          </cell>
          <cell r="N3994">
            <v>0</v>
          </cell>
          <cell r="O3994">
            <v>0</v>
          </cell>
          <cell r="AP3994">
            <v>0</v>
          </cell>
        </row>
        <row r="3995">
          <cell r="C3995">
            <v>0</v>
          </cell>
          <cell r="N3995">
            <v>0</v>
          </cell>
          <cell r="O3995">
            <v>0</v>
          </cell>
          <cell r="AP3995">
            <v>0</v>
          </cell>
        </row>
        <row r="3996">
          <cell r="C3996">
            <v>0</v>
          </cell>
          <cell r="N3996">
            <v>0</v>
          </cell>
          <cell r="O3996">
            <v>0</v>
          </cell>
          <cell r="AP3996">
            <v>0</v>
          </cell>
        </row>
        <row r="3997">
          <cell r="C3997">
            <v>0</v>
          </cell>
          <cell r="N3997">
            <v>0</v>
          </cell>
          <cell r="O3997">
            <v>0</v>
          </cell>
          <cell r="AP3997">
            <v>0</v>
          </cell>
        </row>
        <row r="3998">
          <cell r="C3998">
            <v>0</v>
          </cell>
          <cell r="N3998">
            <v>0</v>
          </cell>
          <cell r="O3998">
            <v>0</v>
          </cell>
          <cell r="AP3998">
            <v>0</v>
          </cell>
        </row>
        <row r="3999">
          <cell r="C3999">
            <v>0</v>
          </cell>
          <cell r="N3999">
            <v>0</v>
          </cell>
          <cell r="O3999">
            <v>0</v>
          </cell>
          <cell r="AP3999">
            <v>0</v>
          </cell>
        </row>
        <row r="4000">
          <cell r="C4000">
            <v>0</v>
          </cell>
          <cell r="N4000">
            <v>0</v>
          </cell>
          <cell r="O4000">
            <v>0</v>
          </cell>
          <cell r="AP4000">
            <v>0</v>
          </cell>
        </row>
        <row r="4001">
          <cell r="C4001">
            <v>0</v>
          </cell>
          <cell r="N4001">
            <v>0</v>
          </cell>
          <cell r="O4001">
            <v>0</v>
          </cell>
          <cell r="AP4001">
            <v>0</v>
          </cell>
        </row>
        <row r="4002">
          <cell r="C4002">
            <v>0</v>
          </cell>
          <cell r="N4002">
            <v>0</v>
          </cell>
          <cell r="O4002">
            <v>0</v>
          </cell>
          <cell r="AP4002">
            <v>0</v>
          </cell>
        </row>
        <row r="4003">
          <cell r="C4003">
            <v>0</v>
          </cell>
          <cell r="N4003">
            <v>0</v>
          </cell>
          <cell r="O4003">
            <v>0</v>
          </cell>
          <cell r="AP4003">
            <v>0</v>
          </cell>
        </row>
        <row r="4004">
          <cell r="C4004">
            <v>0</v>
          </cell>
          <cell r="N4004">
            <v>0</v>
          </cell>
          <cell r="O4004">
            <v>0</v>
          </cell>
          <cell r="AP4004">
            <v>0</v>
          </cell>
        </row>
        <row r="4005">
          <cell r="C4005">
            <v>0</v>
          </cell>
          <cell r="N4005">
            <v>0</v>
          </cell>
          <cell r="O4005">
            <v>0</v>
          </cell>
          <cell r="AP4005">
            <v>0</v>
          </cell>
        </row>
        <row r="4006">
          <cell r="C4006">
            <v>0</v>
          </cell>
          <cell r="N4006">
            <v>0</v>
          </cell>
          <cell r="O4006">
            <v>0</v>
          </cell>
          <cell r="AP4006">
            <v>0</v>
          </cell>
        </row>
        <row r="4007">
          <cell r="C4007">
            <v>0</v>
          </cell>
          <cell r="N4007">
            <v>0</v>
          </cell>
          <cell r="O4007">
            <v>0</v>
          </cell>
          <cell r="AP4007">
            <v>0</v>
          </cell>
        </row>
        <row r="4008">
          <cell r="C4008">
            <v>0</v>
          </cell>
          <cell r="N4008">
            <v>0</v>
          </cell>
          <cell r="O4008">
            <v>0</v>
          </cell>
          <cell r="AP4008">
            <v>0</v>
          </cell>
        </row>
        <row r="4009">
          <cell r="C4009">
            <v>0</v>
          </cell>
          <cell r="N4009">
            <v>0</v>
          </cell>
          <cell r="O4009">
            <v>0</v>
          </cell>
          <cell r="AP4009">
            <v>0</v>
          </cell>
        </row>
        <row r="4010">
          <cell r="C4010">
            <v>0</v>
          </cell>
          <cell r="N4010">
            <v>0</v>
          </cell>
          <cell r="O4010">
            <v>0</v>
          </cell>
          <cell r="AP4010">
            <v>0</v>
          </cell>
        </row>
        <row r="4011">
          <cell r="C4011">
            <v>0</v>
          </cell>
          <cell r="N4011">
            <v>0</v>
          </cell>
          <cell r="O4011">
            <v>0</v>
          </cell>
          <cell r="AP4011">
            <v>0</v>
          </cell>
        </row>
        <row r="4012">
          <cell r="C4012">
            <v>0</v>
          </cell>
          <cell r="N4012">
            <v>0</v>
          </cell>
          <cell r="O4012">
            <v>0</v>
          </cell>
          <cell r="AP4012">
            <v>0</v>
          </cell>
        </row>
        <row r="4013">
          <cell r="C4013">
            <v>0</v>
          </cell>
          <cell r="N4013">
            <v>0</v>
          </cell>
          <cell r="O4013">
            <v>0</v>
          </cell>
          <cell r="AP4013">
            <v>0</v>
          </cell>
        </row>
        <row r="4014">
          <cell r="C4014">
            <v>0</v>
          </cell>
          <cell r="N4014">
            <v>0</v>
          </cell>
          <cell r="O4014">
            <v>0</v>
          </cell>
          <cell r="AP4014">
            <v>0</v>
          </cell>
        </row>
        <row r="4015">
          <cell r="C4015">
            <v>0</v>
          </cell>
          <cell r="N4015">
            <v>0</v>
          </cell>
          <cell r="O4015">
            <v>0</v>
          </cell>
          <cell r="AP4015">
            <v>0</v>
          </cell>
        </row>
        <row r="4016">
          <cell r="C4016">
            <v>0</v>
          </cell>
          <cell r="N4016">
            <v>0</v>
          </cell>
          <cell r="O4016">
            <v>0</v>
          </cell>
          <cell r="AP4016">
            <v>0</v>
          </cell>
        </row>
        <row r="4017">
          <cell r="C4017">
            <v>0</v>
          </cell>
          <cell r="N4017">
            <v>0</v>
          </cell>
          <cell r="O4017">
            <v>0</v>
          </cell>
          <cell r="AP4017">
            <v>0</v>
          </cell>
        </row>
        <row r="4018">
          <cell r="C4018">
            <v>0</v>
          </cell>
          <cell r="N4018">
            <v>0</v>
          </cell>
          <cell r="O4018">
            <v>0</v>
          </cell>
          <cell r="AP4018">
            <v>0</v>
          </cell>
        </row>
        <row r="4019">
          <cell r="C4019">
            <v>0</v>
          </cell>
          <cell r="N4019">
            <v>0</v>
          </cell>
          <cell r="O4019">
            <v>0</v>
          </cell>
          <cell r="AP4019">
            <v>0</v>
          </cell>
        </row>
        <row r="4020">
          <cell r="C4020">
            <v>0</v>
          </cell>
          <cell r="N4020">
            <v>0</v>
          </cell>
          <cell r="O4020">
            <v>0</v>
          </cell>
          <cell r="AP4020">
            <v>0</v>
          </cell>
        </row>
        <row r="4021">
          <cell r="C4021">
            <v>0</v>
          </cell>
          <cell r="N4021">
            <v>0</v>
          </cell>
          <cell r="O4021">
            <v>0</v>
          </cell>
          <cell r="AP4021">
            <v>0</v>
          </cell>
        </row>
        <row r="4022">
          <cell r="C4022">
            <v>0</v>
          </cell>
          <cell r="N4022">
            <v>0</v>
          </cell>
          <cell r="O4022">
            <v>0</v>
          </cell>
          <cell r="AP4022">
            <v>0</v>
          </cell>
        </row>
        <row r="4023">
          <cell r="C4023">
            <v>0</v>
          </cell>
          <cell r="N4023">
            <v>0</v>
          </cell>
          <cell r="O4023">
            <v>0</v>
          </cell>
          <cell r="AP4023">
            <v>0</v>
          </cell>
        </row>
        <row r="4024">
          <cell r="C4024">
            <v>0</v>
          </cell>
          <cell r="N4024">
            <v>0</v>
          </cell>
          <cell r="O4024">
            <v>0</v>
          </cell>
          <cell r="AP4024">
            <v>0</v>
          </cell>
        </row>
        <row r="4025">
          <cell r="C4025">
            <v>0</v>
          </cell>
          <cell r="N4025">
            <v>0</v>
          </cell>
          <cell r="O4025">
            <v>0</v>
          </cell>
          <cell r="AP4025">
            <v>0</v>
          </cell>
        </row>
        <row r="4026">
          <cell r="C4026">
            <v>0</v>
          </cell>
          <cell r="N4026">
            <v>0</v>
          </cell>
          <cell r="O4026">
            <v>0</v>
          </cell>
          <cell r="AP4026">
            <v>0</v>
          </cell>
        </row>
        <row r="4027">
          <cell r="C4027">
            <v>0</v>
          </cell>
          <cell r="N4027">
            <v>0</v>
          </cell>
          <cell r="O4027">
            <v>0</v>
          </cell>
          <cell r="AP4027">
            <v>0</v>
          </cell>
        </row>
        <row r="4028">
          <cell r="C4028">
            <v>0</v>
          </cell>
          <cell r="N4028">
            <v>0</v>
          </cell>
          <cell r="O4028">
            <v>0</v>
          </cell>
          <cell r="AP4028">
            <v>0</v>
          </cell>
        </row>
        <row r="4029">
          <cell r="C4029">
            <v>0</v>
          </cell>
          <cell r="N4029">
            <v>0</v>
          </cell>
          <cell r="O4029">
            <v>0</v>
          </cell>
          <cell r="AP4029">
            <v>0</v>
          </cell>
        </row>
        <row r="4030">
          <cell r="C4030">
            <v>0</v>
          </cell>
          <cell r="N4030">
            <v>0</v>
          </cell>
          <cell r="O4030">
            <v>0</v>
          </cell>
          <cell r="AP4030">
            <v>0</v>
          </cell>
        </row>
        <row r="4031">
          <cell r="C4031">
            <v>0</v>
          </cell>
          <cell r="N4031">
            <v>0</v>
          </cell>
          <cell r="O4031">
            <v>0</v>
          </cell>
          <cell r="AP4031">
            <v>0</v>
          </cell>
        </row>
        <row r="4032">
          <cell r="C4032">
            <v>0</v>
          </cell>
          <cell r="N4032">
            <v>0</v>
          </cell>
          <cell r="O4032">
            <v>0</v>
          </cell>
          <cell r="AP4032">
            <v>0</v>
          </cell>
        </row>
        <row r="4033">
          <cell r="C4033">
            <v>0</v>
          </cell>
          <cell r="N4033">
            <v>0</v>
          </cell>
          <cell r="O4033">
            <v>0</v>
          </cell>
          <cell r="AP4033">
            <v>0</v>
          </cell>
        </row>
        <row r="4034">
          <cell r="C4034">
            <v>0</v>
          </cell>
          <cell r="N4034">
            <v>0</v>
          </cell>
          <cell r="O4034">
            <v>0</v>
          </cell>
          <cell r="AP4034">
            <v>0</v>
          </cell>
        </row>
        <row r="4035">
          <cell r="C4035">
            <v>0</v>
          </cell>
          <cell r="N4035">
            <v>0</v>
          </cell>
          <cell r="O4035">
            <v>0</v>
          </cell>
          <cell r="AP4035">
            <v>0</v>
          </cell>
        </row>
        <row r="4036">
          <cell r="C4036">
            <v>0</v>
          </cell>
          <cell r="N4036">
            <v>0</v>
          </cell>
          <cell r="O4036">
            <v>0</v>
          </cell>
          <cell r="AP4036">
            <v>0</v>
          </cell>
        </row>
        <row r="4037">
          <cell r="C4037">
            <v>0</v>
          </cell>
          <cell r="N4037">
            <v>0</v>
          </cell>
          <cell r="O4037">
            <v>0</v>
          </cell>
          <cell r="AP4037">
            <v>0</v>
          </cell>
        </row>
        <row r="4038">
          <cell r="C4038">
            <v>0</v>
          </cell>
          <cell r="N4038">
            <v>0</v>
          </cell>
          <cell r="O4038">
            <v>0</v>
          </cell>
          <cell r="AP4038">
            <v>0</v>
          </cell>
        </row>
        <row r="4039">
          <cell r="C4039">
            <v>0</v>
          </cell>
          <cell r="N4039">
            <v>0</v>
          </cell>
          <cell r="O4039">
            <v>0</v>
          </cell>
          <cell r="AP4039">
            <v>0</v>
          </cell>
        </row>
        <row r="4040">
          <cell r="C4040">
            <v>0</v>
          </cell>
          <cell r="N4040">
            <v>0</v>
          </cell>
          <cell r="O4040">
            <v>0</v>
          </cell>
          <cell r="AP4040">
            <v>0</v>
          </cell>
        </row>
        <row r="4041">
          <cell r="C4041">
            <v>0</v>
          </cell>
          <cell r="N4041">
            <v>0</v>
          </cell>
          <cell r="O4041">
            <v>0</v>
          </cell>
          <cell r="AP4041">
            <v>0</v>
          </cell>
        </row>
        <row r="4042">
          <cell r="C4042">
            <v>0</v>
          </cell>
          <cell r="N4042">
            <v>0</v>
          </cell>
          <cell r="O4042">
            <v>0</v>
          </cell>
          <cell r="AP4042">
            <v>0</v>
          </cell>
        </row>
        <row r="4043">
          <cell r="C4043">
            <v>0</v>
          </cell>
          <cell r="N4043">
            <v>0</v>
          </cell>
          <cell r="O4043">
            <v>0</v>
          </cell>
          <cell r="AP4043">
            <v>0</v>
          </cell>
        </row>
        <row r="4044">
          <cell r="C4044">
            <v>0</v>
          </cell>
          <cell r="N4044">
            <v>0</v>
          </cell>
          <cell r="O4044">
            <v>0</v>
          </cell>
          <cell r="AP4044">
            <v>0</v>
          </cell>
        </row>
        <row r="4045">
          <cell r="C4045">
            <v>0</v>
          </cell>
          <cell r="N4045">
            <v>0</v>
          </cell>
          <cell r="O4045">
            <v>0</v>
          </cell>
          <cell r="AP4045">
            <v>0</v>
          </cell>
        </row>
        <row r="4046">
          <cell r="C4046">
            <v>0</v>
          </cell>
          <cell r="N4046">
            <v>0</v>
          </cell>
          <cell r="O4046">
            <v>0</v>
          </cell>
          <cell r="AP4046">
            <v>0</v>
          </cell>
        </row>
        <row r="4047">
          <cell r="C4047">
            <v>0</v>
          </cell>
          <cell r="N4047">
            <v>0</v>
          </cell>
          <cell r="O4047">
            <v>0</v>
          </cell>
          <cell r="AP4047">
            <v>0</v>
          </cell>
        </row>
        <row r="4048">
          <cell r="C4048">
            <v>0</v>
          </cell>
          <cell r="N4048">
            <v>0</v>
          </cell>
          <cell r="O4048">
            <v>0</v>
          </cell>
          <cell r="AP4048">
            <v>0</v>
          </cell>
        </row>
        <row r="4049">
          <cell r="C4049">
            <v>0</v>
          </cell>
          <cell r="N4049">
            <v>0</v>
          </cell>
          <cell r="O4049">
            <v>0</v>
          </cell>
          <cell r="AP4049">
            <v>0</v>
          </cell>
        </row>
        <row r="4050">
          <cell r="C4050">
            <v>0</v>
          </cell>
          <cell r="N4050">
            <v>0</v>
          </cell>
          <cell r="O4050">
            <v>0</v>
          </cell>
          <cell r="AP4050">
            <v>0</v>
          </cell>
        </row>
        <row r="4051">
          <cell r="C4051">
            <v>0</v>
          </cell>
          <cell r="N4051">
            <v>0</v>
          </cell>
          <cell r="O4051">
            <v>0</v>
          </cell>
          <cell r="AP4051">
            <v>0</v>
          </cell>
        </row>
        <row r="4052">
          <cell r="C4052">
            <v>0</v>
          </cell>
          <cell r="N4052">
            <v>0</v>
          </cell>
          <cell r="O4052">
            <v>0</v>
          </cell>
          <cell r="AP4052">
            <v>0</v>
          </cell>
        </row>
        <row r="4053">
          <cell r="C4053">
            <v>0</v>
          </cell>
          <cell r="N4053">
            <v>0</v>
          </cell>
          <cell r="O4053">
            <v>0</v>
          </cell>
          <cell r="AP4053">
            <v>0</v>
          </cell>
        </row>
        <row r="4054">
          <cell r="C4054">
            <v>0</v>
          </cell>
          <cell r="N4054">
            <v>0</v>
          </cell>
          <cell r="O4054">
            <v>0</v>
          </cell>
          <cell r="AP4054">
            <v>0</v>
          </cell>
        </row>
        <row r="4055">
          <cell r="C4055">
            <v>0</v>
          </cell>
          <cell r="N4055">
            <v>0</v>
          </cell>
          <cell r="O4055">
            <v>0</v>
          </cell>
          <cell r="AP4055">
            <v>0</v>
          </cell>
        </row>
        <row r="4056">
          <cell r="C4056">
            <v>0</v>
          </cell>
          <cell r="N4056">
            <v>0</v>
          </cell>
          <cell r="O4056">
            <v>0</v>
          </cell>
          <cell r="AP4056">
            <v>0</v>
          </cell>
        </row>
        <row r="4057">
          <cell r="C4057">
            <v>0</v>
          </cell>
          <cell r="N4057">
            <v>0</v>
          </cell>
          <cell r="O4057">
            <v>0</v>
          </cell>
          <cell r="AP4057">
            <v>0</v>
          </cell>
        </row>
        <row r="4058">
          <cell r="C4058">
            <v>0</v>
          </cell>
          <cell r="N4058">
            <v>0</v>
          </cell>
          <cell r="O4058">
            <v>0</v>
          </cell>
          <cell r="AP4058">
            <v>0</v>
          </cell>
        </row>
        <row r="4059">
          <cell r="C4059">
            <v>0</v>
          </cell>
          <cell r="N4059">
            <v>0</v>
          </cell>
          <cell r="O4059">
            <v>0</v>
          </cell>
          <cell r="AP4059">
            <v>0</v>
          </cell>
        </row>
        <row r="4060">
          <cell r="C4060">
            <v>0</v>
          </cell>
          <cell r="N4060">
            <v>0</v>
          </cell>
          <cell r="O4060">
            <v>0</v>
          </cell>
          <cell r="AP4060">
            <v>0</v>
          </cell>
        </row>
        <row r="4061">
          <cell r="C4061">
            <v>0</v>
          </cell>
          <cell r="N4061">
            <v>0</v>
          </cell>
          <cell r="O4061">
            <v>0</v>
          </cell>
          <cell r="AP4061">
            <v>0</v>
          </cell>
        </row>
        <row r="4062">
          <cell r="C4062">
            <v>0</v>
          </cell>
          <cell r="N4062">
            <v>0</v>
          </cell>
          <cell r="O4062">
            <v>0</v>
          </cell>
          <cell r="AP4062">
            <v>0</v>
          </cell>
        </row>
        <row r="4063">
          <cell r="C4063">
            <v>0</v>
          </cell>
          <cell r="N4063">
            <v>0</v>
          </cell>
          <cell r="O4063">
            <v>0</v>
          </cell>
          <cell r="AP4063">
            <v>0</v>
          </cell>
        </row>
        <row r="4064">
          <cell r="C4064">
            <v>0</v>
          </cell>
          <cell r="N4064">
            <v>0</v>
          </cell>
          <cell r="O4064">
            <v>0</v>
          </cell>
          <cell r="AP4064">
            <v>0</v>
          </cell>
        </row>
        <row r="4065">
          <cell r="C4065">
            <v>0</v>
          </cell>
          <cell r="N4065">
            <v>0</v>
          </cell>
          <cell r="O4065">
            <v>0</v>
          </cell>
          <cell r="AP4065">
            <v>0</v>
          </cell>
        </row>
        <row r="4066">
          <cell r="C4066">
            <v>0</v>
          </cell>
          <cell r="N4066">
            <v>0</v>
          </cell>
          <cell r="O4066">
            <v>0</v>
          </cell>
          <cell r="AP4066">
            <v>0</v>
          </cell>
        </row>
        <row r="4067">
          <cell r="C4067">
            <v>0</v>
          </cell>
          <cell r="N4067">
            <v>0</v>
          </cell>
          <cell r="O4067">
            <v>0</v>
          </cell>
          <cell r="AP4067">
            <v>0</v>
          </cell>
        </row>
        <row r="4068">
          <cell r="C4068">
            <v>0</v>
          </cell>
          <cell r="N4068">
            <v>0</v>
          </cell>
          <cell r="O4068">
            <v>0</v>
          </cell>
          <cell r="AP4068">
            <v>0</v>
          </cell>
        </row>
        <row r="4069">
          <cell r="C4069">
            <v>0</v>
          </cell>
          <cell r="N4069">
            <v>0</v>
          </cell>
          <cell r="O4069">
            <v>0</v>
          </cell>
          <cell r="AP4069">
            <v>0</v>
          </cell>
        </row>
        <row r="4070">
          <cell r="C4070">
            <v>0</v>
          </cell>
          <cell r="N4070">
            <v>0</v>
          </cell>
          <cell r="O4070">
            <v>0</v>
          </cell>
          <cell r="AP4070">
            <v>0</v>
          </cell>
        </row>
        <row r="4071">
          <cell r="C4071">
            <v>0</v>
          </cell>
          <cell r="N4071">
            <v>0</v>
          </cell>
          <cell r="O4071">
            <v>0</v>
          </cell>
          <cell r="AP4071">
            <v>0</v>
          </cell>
        </row>
        <row r="4072">
          <cell r="C4072">
            <v>0</v>
          </cell>
          <cell r="N4072">
            <v>0</v>
          </cell>
          <cell r="O4072">
            <v>0</v>
          </cell>
          <cell r="AP4072">
            <v>0</v>
          </cell>
        </row>
        <row r="4073">
          <cell r="C4073">
            <v>0</v>
          </cell>
          <cell r="N4073">
            <v>0</v>
          </cell>
          <cell r="O4073">
            <v>0</v>
          </cell>
          <cell r="AP4073">
            <v>0</v>
          </cell>
        </row>
        <row r="4074">
          <cell r="C4074">
            <v>0</v>
          </cell>
          <cell r="N4074">
            <v>0</v>
          </cell>
          <cell r="O4074">
            <v>0</v>
          </cell>
          <cell r="AP4074">
            <v>0</v>
          </cell>
        </row>
        <row r="4075">
          <cell r="C4075">
            <v>0</v>
          </cell>
          <cell r="N4075">
            <v>0</v>
          </cell>
          <cell r="O4075">
            <v>0</v>
          </cell>
          <cell r="AP4075">
            <v>0</v>
          </cell>
        </row>
        <row r="4076">
          <cell r="C4076">
            <v>0</v>
          </cell>
          <cell r="N4076">
            <v>0</v>
          </cell>
          <cell r="O4076">
            <v>0</v>
          </cell>
          <cell r="AP4076">
            <v>0</v>
          </cell>
        </row>
        <row r="4077">
          <cell r="C4077">
            <v>0</v>
          </cell>
          <cell r="N4077">
            <v>0</v>
          </cell>
          <cell r="O4077">
            <v>0</v>
          </cell>
          <cell r="AP4077">
            <v>0</v>
          </cell>
        </row>
        <row r="4078">
          <cell r="C4078">
            <v>0</v>
          </cell>
          <cell r="N4078">
            <v>0</v>
          </cell>
          <cell r="O4078">
            <v>0</v>
          </cell>
          <cell r="AP4078">
            <v>0</v>
          </cell>
        </row>
        <row r="4079">
          <cell r="C4079">
            <v>0</v>
          </cell>
          <cell r="N4079">
            <v>0</v>
          </cell>
          <cell r="O4079">
            <v>0</v>
          </cell>
          <cell r="AP4079">
            <v>0</v>
          </cell>
        </row>
        <row r="4080">
          <cell r="C4080">
            <v>0</v>
          </cell>
          <cell r="N4080">
            <v>0</v>
          </cell>
          <cell r="O4080">
            <v>0</v>
          </cell>
          <cell r="AP4080">
            <v>0</v>
          </cell>
        </row>
        <row r="4081">
          <cell r="C4081">
            <v>0</v>
          </cell>
          <cell r="N4081">
            <v>0</v>
          </cell>
          <cell r="O4081">
            <v>0</v>
          </cell>
          <cell r="AP4081">
            <v>0</v>
          </cell>
        </row>
        <row r="4082">
          <cell r="C4082">
            <v>0</v>
          </cell>
          <cell r="N4082">
            <v>0</v>
          </cell>
          <cell r="O4082">
            <v>0</v>
          </cell>
          <cell r="AP4082">
            <v>0</v>
          </cell>
        </row>
        <row r="4083">
          <cell r="C4083">
            <v>0</v>
          </cell>
          <cell r="N4083">
            <v>0</v>
          </cell>
          <cell r="O4083">
            <v>0</v>
          </cell>
          <cell r="AP4083">
            <v>0</v>
          </cell>
        </row>
        <row r="4084">
          <cell r="C4084">
            <v>0</v>
          </cell>
          <cell r="N4084">
            <v>0</v>
          </cell>
          <cell r="O4084">
            <v>0</v>
          </cell>
          <cell r="AP4084">
            <v>0</v>
          </cell>
        </row>
        <row r="4085">
          <cell r="C4085">
            <v>0</v>
          </cell>
          <cell r="N4085">
            <v>0</v>
          </cell>
          <cell r="O4085">
            <v>0</v>
          </cell>
          <cell r="AP4085">
            <v>0</v>
          </cell>
        </row>
        <row r="4086">
          <cell r="C4086">
            <v>0</v>
          </cell>
          <cell r="N4086">
            <v>0</v>
          </cell>
          <cell r="O4086">
            <v>0</v>
          </cell>
          <cell r="AP4086">
            <v>0</v>
          </cell>
        </row>
        <row r="4087">
          <cell r="C4087">
            <v>0</v>
          </cell>
          <cell r="N4087">
            <v>0</v>
          </cell>
          <cell r="O4087">
            <v>0</v>
          </cell>
          <cell r="AP4087">
            <v>0</v>
          </cell>
        </row>
        <row r="4088">
          <cell r="C4088">
            <v>0</v>
          </cell>
          <cell r="N4088">
            <v>0</v>
          </cell>
          <cell r="O4088">
            <v>0</v>
          </cell>
          <cell r="AP4088">
            <v>0</v>
          </cell>
        </row>
        <row r="4089">
          <cell r="C4089">
            <v>0</v>
          </cell>
          <cell r="N4089">
            <v>0</v>
          </cell>
          <cell r="O4089">
            <v>0</v>
          </cell>
          <cell r="AP4089">
            <v>0</v>
          </cell>
        </row>
        <row r="4090">
          <cell r="C4090">
            <v>0</v>
          </cell>
          <cell r="N4090">
            <v>0</v>
          </cell>
          <cell r="O4090">
            <v>0</v>
          </cell>
          <cell r="AP4090">
            <v>0</v>
          </cell>
        </row>
        <row r="4091">
          <cell r="C4091">
            <v>0</v>
          </cell>
          <cell r="N4091">
            <v>0</v>
          </cell>
          <cell r="O4091">
            <v>0</v>
          </cell>
          <cell r="AP4091">
            <v>0</v>
          </cell>
        </row>
        <row r="4092">
          <cell r="C4092">
            <v>0</v>
          </cell>
          <cell r="N4092">
            <v>0</v>
          </cell>
          <cell r="O4092">
            <v>0</v>
          </cell>
          <cell r="AP4092">
            <v>0</v>
          </cell>
        </row>
        <row r="4093">
          <cell r="C4093">
            <v>0</v>
          </cell>
          <cell r="N4093">
            <v>0</v>
          </cell>
          <cell r="O4093">
            <v>0</v>
          </cell>
          <cell r="AP4093">
            <v>0</v>
          </cell>
        </row>
        <row r="4094">
          <cell r="C4094">
            <v>0</v>
          </cell>
          <cell r="N4094">
            <v>0</v>
          </cell>
          <cell r="O4094">
            <v>0</v>
          </cell>
          <cell r="AP4094">
            <v>0</v>
          </cell>
        </row>
        <row r="4095">
          <cell r="C4095">
            <v>0</v>
          </cell>
          <cell r="N4095">
            <v>0</v>
          </cell>
          <cell r="O4095">
            <v>0</v>
          </cell>
          <cell r="AP4095">
            <v>0</v>
          </cell>
        </row>
        <row r="4096">
          <cell r="C4096">
            <v>0</v>
          </cell>
          <cell r="N4096">
            <v>0</v>
          </cell>
          <cell r="O4096">
            <v>0</v>
          </cell>
          <cell r="AP4096">
            <v>0</v>
          </cell>
        </row>
        <row r="4097">
          <cell r="C4097">
            <v>0</v>
          </cell>
          <cell r="N4097">
            <v>0</v>
          </cell>
          <cell r="O4097">
            <v>0</v>
          </cell>
          <cell r="AP4097">
            <v>0</v>
          </cell>
        </row>
        <row r="4098">
          <cell r="C4098">
            <v>0</v>
          </cell>
          <cell r="N4098">
            <v>0</v>
          </cell>
          <cell r="O4098">
            <v>0</v>
          </cell>
          <cell r="AP4098">
            <v>0</v>
          </cell>
        </row>
        <row r="4099">
          <cell r="C4099">
            <v>0</v>
          </cell>
          <cell r="N4099">
            <v>0</v>
          </cell>
          <cell r="O4099">
            <v>0</v>
          </cell>
          <cell r="AP4099">
            <v>0</v>
          </cell>
        </row>
        <row r="4100">
          <cell r="C4100">
            <v>0</v>
          </cell>
          <cell r="N4100">
            <v>0</v>
          </cell>
          <cell r="O4100">
            <v>0</v>
          </cell>
          <cell r="AP4100">
            <v>0</v>
          </cell>
        </row>
        <row r="4101">
          <cell r="C4101">
            <v>0</v>
          </cell>
          <cell r="N4101">
            <v>0</v>
          </cell>
          <cell r="O4101">
            <v>0</v>
          </cell>
          <cell r="AP4101">
            <v>0</v>
          </cell>
        </row>
        <row r="4102">
          <cell r="C4102">
            <v>0</v>
          </cell>
          <cell r="N4102">
            <v>0</v>
          </cell>
          <cell r="O4102">
            <v>0</v>
          </cell>
          <cell r="AP4102">
            <v>0</v>
          </cell>
        </row>
        <row r="4103">
          <cell r="C4103">
            <v>0</v>
          </cell>
          <cell r="N4103">
            <v>0</v>
          </cell>
          <cell r="O4103">
            <v>0</v>
          </cell>
          <cell r="AP4103">
            <v>0</v>
          </cell>
        </row>
        <row r="4104">
          <cell r="C4104">
            <v>0</v>
          </cell>
          <cell r="N4104">
            <v>0</v>
          </cell>
          <cell r="O4104">
            <v>0</v>
          </cell>
          <cell r="AP4104">
            <v>0</v>
          </cell>
        </row>
        <row r="4105">
          <cell r="C4105">
            <v>0</v>
          </cell>
          <cell r="N4105">
            <v>0</v>
          </cell>
          <cell r="O4105">
            <v>0</v>
          </cell>
          <cell r="AP4105">
            <v>0</v>
          </cell>
        </row>
        <row r="4106">
          <cell r="C4106">
            <v>0</v>
          </cell>
          <cell r="N4106">
            <v>0</v>
          </cell>
          <cell r="O4106">
            <v>0</v>
          </cell>
          <cell r="AP4106">
            <v>0</v>
          </cell>
        </row>
        <row r="4107">
          <cell r="C4107">
            <v>0</v>
          </cell>
          <cell r="N4107">
            <v>0</v>
          </cell>
          <cell r="O4107">
            <v>0</v>
          </cell>
          <cell r="AP4107">
            <v>0</v>
          </cell>
        </row>
        <row r="4108">
          <cell r="C4108">
            <v>0</v>
          </cell>
          <cell r="N4108">
            <v>0</v>
          </cell>
          <cell r="O4108">
            <v>0</v>
          </cell>
          <cell r="AP4108">
            <v>0</v>
          </cell>
        </row>
        <row r="4109">
          <cell r="C4109">
            <v>0</v>
          </cell>
          <cell r="N4109">
            <v>0</v>
          </cell>
          <cell r="O4109">
            <v>0</v>
          </cell>
          <cell r="AP4109">
            <v>0</v>
          </cell>
        </row>
        <row r="4110">
          <cell r="C4110">
            <v>0</v>
          </cell>
          <cell r="N4110">
            <v>0</v>
          </cell>
          <cell r="O4110">
            <v>0</v>
          </cell>
          <cell r="AP4110">
            <v>0</v>
          </cell>
        </row>
        <row r="4111">
          <cell r="C4111">
            <v>0</v>
          </cell>
          <cell r="N4111">
            <v>0</v>
          </cell>
          <cell r="O4111">
            <v>0</v>
          </cell>
          <cell r="AP4111">
            <v>0</v>
          </cell>
        </row>
        <row r="4112">
          <cell r="C4112">
            <v>0</v>
          </cell>
          <cell r="N4112">
            <v>0</v>
          </cell>
          <cell r="O4112">
            <v>0</v>
          </cell>
          <cell r="AP4112">
            <v>0</v>
          </cell>
        </row>
        <row r="4113">
          <cell r="C4113">
            <v>0</v>
          </cell>
          <cell r="N4113">
            <v>0</v>
          </cell>
          <cell r="O4113">
            <v>0</v>
          </cell>
          <cell r="AP4113">
            <v>0</v>
          </cell>
        </row>
        <row r="4114">
          <cell r="C4114">
            <v>0</v>
          </cell>
          <cell r="N4114">
            <v>0</v>
          </cell>
          <cell r="O4114">
            <v>0</v>
          </cell>
          <cell r="AP4114">
            <v>0</v>
          </cell>
        </row>
        <row r="4115">
          <cell r="C4115">
            <v>0</v>
          </cell>
          <cell r="N4115">
            <v>0</v>
          </cell>
          <cell r="O4115">
            <v>0</v>
          </cell>
          <cell r="AP4115">
            <v>0</v>
          </cell>
        </row>
        <row r="4116">
          <cell r="C4116">
            <v>0</v>
          </cell>
          <cell r="N4116">
            <v>0</v>
          </cell>
          <cell r="O4116">
            <v>0</v>
          </cell>
          <cell r="AP4116">
            <v>0</v>
          </cell>
        </row>
        <row r="4117">
          <cell r="C4117">
            <v>0</v>
          </cell>
          <cell r="N4117">
            <v>0</v>
          </cell>
          <cell r="O4117">
            <v>0</v>
          </cell>
          <cell r="AP4117">
            <v>0</v>
          </cell>
        </row>
        <row r="4118">
          <cell r="C4118">
            <v>0</v>
          </cell>
          <cell r="N4118">
            <v>0</v>
          </cell>
          <cell r="O4118">
            <v>0</v>
          </cell>
          <cell r="AP4118">
            <v>0</v>
          </cell>
        </row>
        <row r="4119">
          <cell r="C4119">
            <v>0</v>
          </cell>
          <cell r="N4119">
            <v>0</v>
          </cell>
          <cell r="O4119">
            <v>0</v>
          </cell>
          <cell r="AP4119">
            <v>0</v>
          </cell>
        </row>
        <row r="4120">
          <cell r="C4120">
            <v>0</v>
          </cell>
          <cell r="N4120">
            <v>0</v>
          </cell>
          <cell r="O4120">
            <v>0</v>
          </cell>
          <cell r="AP4120">
            <v>0</v>
          </cell>
        </row>
        <row r="4121">
          <cell r="C4121">
            <v>0</v>
          </cell>
          <cell r="N4121">
            <v>0</v>
          </cell>
          <cell r="O4121">
            <v>0</v>
          </cell>
          <cell r="AP4121">
            <v>0</v>
          </cell>
        </row>
        <row r="4122">
          <cell r="C4122">
            <v>0</v>
          </cell>
          <cell r="N4122">
            <v>0</v>
          </cell>
          <cell r="O4122">
            <v>0</v>
          </cell>
          <cell r="AP4122">
            <v>0</v>
          </cell>
        </row>
        <row r="4123">
          <cell r="C4123">
            <v>0</v>
          </cell>
          <cell r="N4123">
            <v>0</v>
          </cell>
          <cell r="O4123">
            <v>0</v>
          </cell>
          <cell r="AP4123">
            <v>0</v>
          </cell>
        </row>
        <row r="4124">
          <cell r="C4124">
            <v>0</v>
          </cell>
          <cell r="N4124">
            <v>0</v>
          </cell>
          <cell r="O4124">
            <v>0</v>
          </cell>
          <cell r="AP4124">
            <v>0</v>
          </cell>
        </row>
        <row r="4125">
          <cell r="C4125">
            <v>0</v>
          </cell>
          <cell r="N4125">
            <v>0</v>
          </cell>
          <cell r="O4125">
            <v>0</v>
          </cell>
          <cell r="AP4125">
            <v>0</v>
          </cell>
        </row>
        <row r="4126">
          <cell r="C4126">
            <v>0</v>
          </cell>
          <cell r="N4126">
            <v>0</v>
          </cell>
          <cell r="O4126">
            <v>0</v>
          </cell>
          <cell r="AP4126">
            <v>0</v>
          </cell>
        </row>
        <row r="4127">
          <cell r="C4127">
            <v>0</v>
          </cell>
          <cell r="N4127">
            <v>0</v>
          </cell>
          <cell r="O4127">
            <v>0</v>
          </cell>
          <cell r="AP4127">
            <v>0</v>
          </cell>
        </row>
        <row r="4128">
          <cell r="C4128">
            <v>0</v>
          </cell>
          <cell r="N4128">
            <v>0</v>
          </cell>
          <cell r="O4128">
            <v>0</v>
          </cell>
          <cell r="AP4128">
            <v>0</v>
          </cell>
        </row>
        <row r="4129">
          <cell r="C4129">
            <v>0</v>
          </cell>
          <cell r="N4129">
            <v>0</v>
          </cell>
          <cell r="O4129">
            <v>0</v>
          </cell>
          <cell r="AP4129">
            <v>0</v>
          </cell>
        </row>
        <row r="4130">
          <cell r="C4130">
            <v>0</v>
          </cell>
          <cell r="N4130">
            <v>0</v>
          </cell>
          <cell r="O4130">
            <v>0</v>
          </cell>
          <cell r="AP4130">
            <v>0</v>
          </cell>
        </row>
        <row r="4131">
          <cell r="C4131">
            <v>0</v>
          </cell>
          <cell r="N4131">
            <v>0</v>
          </cell>
          <cell r="O4131">
            <v>0</v>
          </cell>
          <cell r="AP4131">
            <v>0</v>
          </cell>
        </row>
        <row r="4132">
          <cell r="C4132">
            <v>0</v>
          </cell>
          <cell r="N4132">
            <v>0</v>
          </cell>
          <cell r="O4132">
            <v>0</v>
          </cell>
          <cell r="AP4132">
            <v>0</v>
          </cell>
        </row>
        <row r="4133">
          <cell r="C4133">
            <v>0</v>
          </cell>
          <cell r="N4133">
            <v>0</v>
          </cell>
          <cell r="O4133">
            <v>0</v>
          </cell>
          <cell r="AP4133">
            <v>0</v>
          </cell>
        </row>
        <row r="4134">
          <cell r="C4134">
            <v>0</v>
          </cell>
          <cell r="N4134">
            <v>0</v>
          </cell>
          <cell r="O4134">
            <v>0</v>
          </cell>
          <cell r="AP4134">
            <v>0</v>
          </cell>
        </row>
        <row r="4135">
          <cell r="C4135">
            <v>0</v>
          </cell>
          <cell r="N4135">
            <v>0</v>
          </cell>
          <cell r="O4135">
            <v>0</v>
          </cell>
          <cell r="AP4135">
            <v>0</v>
          </cell>
        </row>
        <row r="4136">
          <cell r="C4136">
            <v>0</v>
          </cell>
          <cell r="N4136">
            <v>0</v>
          </cell>
          <cell r="O4136">
            <v>0</v>
          </cell>
          <cell r="AP4136">
            <v>0</v>
          </cell>
        </row>
        <row r="4137">
          <cell r="C4137">
            <v>0</v>
          </cell>
          <cell r="N4137">
            <v>0</v>
          </cell>
          <cell r="O4137">
            <v>0</v>
          </cell>
          <cell r="AP4137">
            <v>0</v>
          </cell>
        </row>
        <row r="4138">
          <cell r="C4138">
            <v>0</v>
          </cell>
          <cell r="N4138">
            <v>0</v>
          </cell>
          <cell r="O4138">
            <v>0</v>
          </cell>
          <cell r="AP4138">
            <v>0</v>
          </cell>
        </row>
        <row r="4139">
          <cell r="C4139">
            <v>0</v>
          </cell>
          <cell r="N4139">
            <v>0</v>
          </cell>
          <cell r="O4139">
            <v>0</v>
          </cell>
          <cell r="AP4139">
            <v>0</v>
          </cell>
        </row>
        <row r="4140">
          <cell r="C4140">
            <v>0</v>
          </cell>
          <cell r="N4140">
            <v>0</v>
          </cell>
          <cell r="O4140">
            <v>0</v>
          </cell>
          <cell r="AP4140">
            <v>0</v>
          </cell>
        </row>
        <row r="4141">
          <cell r="C4141">
            <v>0</v>
          </cell>
          <cell r="N4141">
            <v>0</v>
          </cell>
          <cell r="O4141">
            <v>0</v>
          </cell>
          <cell r="AP4141">
            <v>0</v>
          </cell>
        </row>
        <row r="4142">
          <cell r="C4142">
            <v>0</v>
          </cell>
          <cell r="N4142">
            <v>0</v>
          </cell>
          <cell r="O4142">
            <v>0</v>
          </cell>
          <cell r="AP4142">
            <v>0</v>
          </cell>
        </row>
        <row r="4143">
          <cell r="C4143">
            <v>0</v>
          </cell>
          <cell r="N4143">
            <v>0</v>
          </cell>
          <cell r="O4143">
            <v>0</v>
          </cell>
          <cell r="AP4143">
            <v>0</v>
          </cell>
        </row>
        <row r="4144">
          <cell r="C4144">
            <v>0</v>
          </cell>
          <cell r="N4144">
            <v>0</v>
          </cell>
          <cell r="O4144">
            <v>0</v>
          </cell>
          <cell r="AP4144">
            <v>0</v>
          </cell>
        </row>
        <row r="4145">
          <cell r="C4145">
            <v>0</v>
          </cell>
          <cell r="N4145">
            <v>0</v>
          </cell>
          <cell r="O4145">
            <v>0</v>
          </cell>
          <cell r="AP4145">
            <v>0</v>
          </cell>
        </row>
        <row r="4146">
          <cell r="C4146">
            <v>0</v>
          </cell>
          <cell r="N4146">
            <v>0</v>
          </cell>
          <cell r="O4146">
            <v>0</v>
          </cell>
          <cell r="AP4146">
            <v>0</v>
          </cell>
        </row>
        <row r="4147">
          <cell r="C4147">
            <v>0</v>
          </cell>
          <cell r="N4147">
            <v>0</v>
          </cell>
          <cell r="O4147">
            <v>0</v>
          </cell>
          <cell r="AP4147">
            <v>0</v>
          </cell>
        </row>
        <row r="4148">
          <cell r="C4148">
            <v>0</v>
          </cell>
          <cell r="N4148">
            <v>0</v>
          </cell>
          <cell r="O4148">
            <v>0</v>
          </cell>
          <cell r="AP4148">
            <v>0</v>
          </cell>
        </row>
        <row r="4149">
          <cell r="C4149">
            <v>0</v>
          </cell>
          <cell r="N4149">
            <v>0</v>
          </cell>
          <cell r="O4149">
            <v>0</v>
          </cell>
          <cell r="AP4149">
            <v>0</v>
          </cell>
        </row>
        <row r="4150">
          <cell r="C4150">
            <v>0</v>
          </cell>
          <cell r="N4150">
            <v>0</v>
          </cell>
          <cell r="O4150">
            <v>0</v>
          </cell>
          <cell r="AP4150">
            <v>0</v>
          </cell>
        </row>
        <row r="4151">
          <cell r="C4151">
            <v>0</v>
          </cell>
          <cell r="N4151">
            <v>0</v>
          </cell>
          <cell r="O4151">
            <v>0</v>
          </cell>
          <cell r="AP4151">
            <v>0</v>
          </cell>
        </row>
        <row r="4152">
          <cell r="C4152">
            <v>0</v>
          </cell>
          <cell r="N4152">
            <v>0</v>
          </cell>
          <cell r="O4152">
            <v>0</v>
          </cell>
          <cell r="AP4152">
            <v>0</v>
          </cell>
        </row>
        <row r="4153">
          <cell r="C4153">
            <v>0</v>
          </cell>
          <cell r="N4153">
            <v>0</v>
          </cell>
          <cell r="O4153">
            <v>0</v>
          </cell>
          <cell r="AP4153">
            <v>0</v>
          </cell>
        </row>
        <row r="4154">
          <cell r="C4154">
            <v>0</v>
          </cell>
          <cell r="N4154">
            <v>0</v>
          </cell>
          <cell r="O4154">
            <v>0</v>
          </cell>
          <cell r="AP4154">
            <v>0</v>
          </cell>
        </row>
        <row r="4155">
          <cell r="C4155">
            <v>0</v>
          </cell>
          <cell r="N4155">
            <v>0</v>
          </cell>
          <cell r="O4155">
            <v>0</v>
          </cell>
          <cell r="AP4155">
            <v>0</v>
          </cell>
        </row>
        <row r="4156">
          <cell r="C4156">
            <v>0</v>
          </cell>
          <cell r="N4156">
            <v>0</v>
          </cell>
          <cell r="O4156">
            <v>0</v>
          </cell>
          <cell r="AP4156">
            <v>0</v>
          </cell>
        </row>
        <row r="4157">
          <cell r="C4157">
            <v>0</v>
          </cell>
          <cell r="N4157">
            <v>0</v>
          </cell>
          <cell r="O4157">
            <v>0</v>
          </cell>
          <cell r="AP4157">
            <v>0</v>
          </cell>
        </row>
        <row r="4158">
          <cell r="C4158">
            <v>0</v>
          </cell>
          <cell r="N4158">
            <v>0</v>
          </cell>
          <cell r="O4158">
            <v>0</v>
          </cell>
          <cell r="AP4158">
            <v>0</v>
          </cell>
        </row>
        <row r="4159">
          <cell r="C4159">
            <v>0</v>
          </cell>
          <cell r="N4159">
            <v>0</v>
          </cell>
          <cell r="O4159">
            <v>0</v>
          </cell>
          <cell r="AP4159">
            <v>0</v>
          </cell>
        </row>
        <row r="4160">
          <cell r="C4160">
            <v>0</v>
          </cell>
          <cell r="N4160">
            <v>0</v>
          </cell>
          <cell r="O4160">
            <v>0</v>
          </cell>
          <cell r="AP4160">
            <v>0</v>
          </cell>
        </row>
        <row r="4161">
          <cell r="C4161">
            <v>0</v>
          </cell>
          <cell r="N4161">
            <v>0</v>
          </cell>
          <cell r="O4161">
            <v>0</v>
          </cell>
          <cell r="AP4161">
            <v>0</v>
          </cell>
        </row>
        <row r="4162">
          <cell r="C4162">
            <v>0</v>
          </cell>
          <cell r="N4162">
            <v>0</v>
          </cell>
          <cell r="O4162">
            <v>0</v>
          </cell>
          <cell r="AP4162">
            <v>0</v>
          </cell>
        </row>
        <row r="4163">
          <cell r="C4163">
            <v>0</v>
          </cell>
          <cell r="N4163">
            <v>0</v>
          </cell>
          <cell r="O4163">
            <v>0</v>
          </cell>
          <cell r="AP4163">
            <v>0</v>
          </cell>
        </row>
        <row r="4164">
          <cell r="C4164">
            <v>0</v>
          </cell>
          <cell r="N4164">
            <v>0</v>
          </cell>
          <cell r="O4164">
            <v>0</v>
          </cell>
          <cell r="AP4164">
            <v>0</v>
          </cell>
        </row>
        <row r="4165">
          <cell r="C4165">
            <v>0</v>
          </cell>
          <cell r="N4165">
            <v>0</v>
          </cell>
          <cell r="O4165">
            <v>0</v>
          </cell>
          <cell r="AP4165">
            <v>0</v>
          </cell>
        </row>
        <row r="4166">
          <cell r="C4166">
            <v>0</v>
          </cell>
          <cell r="N4166">
            <v>0</v>
          </cell>
          <cell r="O4166">
            <v>0</v>
          </cell>
          <cell r="AP4166">
            <v>0</v>
          </cell>
        </row>
        <row r="4167">
          <cell r="C4167">
            <v>0</v>
          </cell>
          <cell r="N4167">
            <v>0</v>
          </cell>
          <cell r="O4167">
            <v>0</v>
          </cell>
          <cell r="AP4167">
            <v>0</v>
          </cell>
        </row>
        <row r="4168">
          <cell r="C4168">
            <v>0</v>
          </cell>
          <cell r="N4168">
            <v>0</v>
          </cell>
          <cell r="O4168">
            <v>0</v>
          </cell>
          <cell r="AP4168">
            <v>0</v>
          </cell>
        </row>
        <row r="4169">
          <cell r="C4169">
            <v>0</v>
          </cell>
          <cell r="N4169">
            <v>0</v>
          </cell>
          <cell r="O4169">
            <v>0</v>
          </cell>
          <cell r="AP4169">
            <v>0</v>
          </cell>
        </row>
        <row r="4170">
          <cell r="C4170">
            <v>0</v>
          </cell>
          <cell r="N4170">
            <v>0</v>
          </cell>
          <cell r="O4170">
            <v>0</v>
          </cell>
          <cell r="AP4170">
            <v>0</v>
          </cell>
        </row>
        <row r="4171">
          <cell r="C4171">
            <v>0</v>
          </cell>
          <cell r="N4171">
            <v>0</v>
          </cell>
          <cell r="O4171">
            <v>0</v>
          </cell>
          <cell r="AP4171">
            <v>0</v>
          </cell>
        </row>
        <row r="4172">
          <cell r="C4172">
            <v>0</v>
          </cell>
          <cell r="N4172">
            <v>0</v>
          </cell>
          <cell r="O4172">
            <v>0</v>
          </cell>
          <cell r="AP4172">
            <v>0</v>
          </cell>
        </row>
        <row r="4173">
          <cell r="C4173">
            <v>0</v>
          </cell>
          <cell r="N4173">
            <v>0</v>
          </cell>
          <cell r="O4173">
            <v>0</v>
          </cell>
          <cell r="AP4173">
            <v>0</v>
          </cell>
        </row>
        <row r="4174">
          <cell r="C4174">
            <v>0</v>
          </cell>
          <cell r="N4174">
            <v>0</v>
          </cell>
          <cell r="O4174">
            <v>0</v>
          </cell>
          <cell r="AP4174">
            <v>0</v>
          </cell>
        </row>
        <row r="4175">
          <cell r="C4175">
            <v>0</v>
          </cell>
          <cell r="N4175">
            <v>0</v>
          </cell>
          <cell r="O4175">
            <v>0</v>
          </cell>
          <cell r="AP4175">
            <v>0</v>
          </cell>
        </row>
        <row r="4176">
          <cell r="C4176">
            <v>0</v>
          </cell>
          <cell r="N4176">
            <v>0</v>
          </cell>
          <cell r="O4176">
            <v>0</v>
          </cell>
          <cell r="AP4176">
            <v>0</v>
          </cell>
        </row>
        <row r="4177">
          <cell r="C4177">
            <v>0</v>
          </cell>
          <cell r="N4177">
            <v>0</v>
          </cell>
          <cell r="O4177">
            <v>0</v>
          </cell>
          <cell r="AP4177">
            <v>0</v>
          </cell>
        </row>
        <row r="4178">
          <cell r="C4178">
            <v>0</v>
          </cell>
          <cell r="N4178">
            <v>0</v>
          </cell>
          <cell r="O4178">
            <v>0</v>
          </cell>
          <cell r="AP4178">
            <v>0</v>
          </cell>
        </row>
        <row r="4179">
          <cell r="C4179">
            <v>0</v>
          </cell>
          <cell r="N4179">
            <v>0</v>
          </cell>
          <cell r="O4179">
            <v>0</v>
          </cell>
          <cell r="AP4179">
            <v>0</v>
          </cell>
        </row>
        <row r="4180">
          <cell r="C4180">
            <v>0</v>
          </cell>
          <cell r="N4180">
            <v>0</v>
          </cell>
          <cell r="O4180">
            <v>0</v>
          </cell>
          <cell r="AP4180">
            <v>0</v>
          </cell>
        </row>
        <row r="4181">
          <cell r="C4181">
            <v>0</v>
          </cell>
          <cell r="N4181">
            <v>0</v>
          </cell>
          <cell r="O4181">
            <v>0</v>
          </cell>
          <cell r="AP4181">
            <v>0</v>
          </cell>
        </row>
        <row r="4182">
          <cell r="C4182">
            <v>0</v>
          </cell>
          <cell r="N4182">
            <v>0</v>
          </cell>
          <cell r="O4182">
            <v>0</v>
          </cell>
          <cell r="AP4182">
            <v>0</v>
          </cell>
        </row>
        <row r="4183">
          <cell r="C4183">
            <v>0</v>
          </cell>
          <cell r="N4183">
            <v>0</v>
          </cell>
          <cell r="O4183">
            <v>0</v>
          </cell>
          <cell r="AP4183">
            <v>0</v>
          </cell>
        </row>
        <row r="4184">
          <cell r="C4184">
            <v>0</v>
          </cell>
          <cell r="N4184">
            <v>0</v>
          </cell>
          <cell r="O4184">
            <v>0</v>
          </cell>
          <cell r="AP4184">
            <v>0</v>
          </cell>
        </row>
        <row r="4185">
          <cell r="C4185">
            <v>0</v>
          </cell>
          <cell r="N4185">
            <v>0</v>
          </cell>
          <cell r="O4185">
            <v>0</v>
          </cell>
          <cell r="AP4185">
            <v>0</v>
          </cell>
        </row>
        <row r="4186">
          <cell r="C4186">
            <v>0</v>
          </cell>
          <cell r="N4186">
            <v>0</v>
          </cell>
          <cell r="O4186">
            <v>0</v>
          </cell>
          <cell r="AP4186">
            <v>0</v>
          </cell>
        </row>
        <row r="4187">
          <cell r="C4187">
            <v>0</v>
          </cell>
          <cell r="N4187">
            <v>0</v>
          </cell>
          <cell r="O4187">
            <v>0</v>
          </cell>
          <cell r="AP4187">
            <v>0</v>
          </cell>
        </row>
        <row r="4188">
          <cell r="C4188">
            <v>0</v>
          </cell>
          <cell r="N4188">
            <v>0</v>
          </cell>
          <cell r="O4188">
            <v>0</v>
          </cell>
          <cell r="AP4188">
            <v>0</v>
          </cell>
        </row>
        <row r="4189">
          <cell r="C4189">
            <v>0</v>
          </cell>
          <cell r="N4189">
            <v>0</v>
          </cell>
          <cell r="O4189">
            <v>0</v>
          </cell>
          <cell r="AP4189">
            <v>0</v>
          </cell>
        </row>
        <row r="4190">
          <cell r="C4190">
            <v>0</v>
          </cell>
          <cell r="N4190">
            <v>0</v>
          </cell>
          <cell r="O4190">
            <v>0</v>
          </cell>
          <cell r="AP4190">
            <v>0</v>
          </cell>
        </row>
        <row r="4191">
          <cell r="C4191">
            <v>0</v>
          </cell>
          <cell r="N4191">
            <v>0</v>
          </cell>
          <cell r="O4191">
            <v>0</v>
          </cell>
          <cell r="AP4191">
            <v>0</v>
          </cell>
        </row>
        <row r="4192">
          <cell r="C4192">
            <v>0</v>
          </cell>
          <cell r="N4192">
            <v>0</v>
          </cell>
          <cell r="O4192">
            <v>0</v>
          </cell>
          <cell r="AP4192">
            <v>0</v>
          </cell>
        </row>
        <row r="4193">
          <cell r="C4193">
            <v>0</v>
          </cell>
          <cell r="N4193">
            <v>0</v>
          </cell>
          <cell r="O4193">
            <v>0</v>
          </cell>
          <cell r="AP4193">
            <v>0</v>
          </cell>
        </row>
        <row r="4194">
          <cell r="C4194">
            <v>0</v>
          </cell>
          <cell r="N4194">
            <v>0</v>
          </cell>
          <cell r="O4194">
            <v>0</v>
          </cell>
          <cell r="AP4194">
            <v>0</v>
          </cell>
        </row>
        <row r="4195">
          <cell r="C4195">
            <v>0</v>
          </cell>
          <cell r="N4195">
            <v>0</v>
          </cell>
          <cell r="O4195">
            <v>0</v>
          </cell>
          <cell r="AP4195">
            <v>0</v>
          </cell>
        </row>
        <row r="4196">
          <cell r="C4196">
            <v>0</v>
          </cell>
          <cell r="N4196">
            <v>0</v>
          </cell>
          <cell r="O4196">
            <v>0</v>
          </cell>
          <cell r="AP4196">
            <v>0</v>
          </cell>
        </row>
        <row r="4197">
          <cell r="C4197">
            <v>0</v>
          </cell>
          <cell r="N4197">
            <v>0</v>
          </cell>
          <cell r="O4197">
            <v>0</v>
          </cell>
          <cell r="AP4197">
            <v>0</v>
          </cell>
        </row>
        <row r="4198">
          <cell r="C4198">
            <v>0</v>
          </cell>
          <cell r="N4198">
            <v>0</v>
          </cell>
          <cell r="O4198">
            <v>0</v>
          </cell>
          <cell r="AP4198">
            <v>0</v>
          </cell>
        </row>
        <row r="4199">
          <cell r="C4199">
            <v>0</v>
          </cell>
          <cell r="N4199">
            <v>0</v>
          </cell>
          <cell r="O4199">
            <v>0</v>
          </cell>
          <cell r="AP4199">
            <v>0</v>
          </cell>
        </row>
        <row r="4200">
          <cell r="C4200">
            <v>0</v>
          </cell>
          <cell r="N4200">
            <v>0</v>
          </cell>
          <cell r="O4200">
            <v>0</v>
          </cell>
          <cell r="AP4200">
            <v>0</v>
          </cell>
        </row>
        <row r="4201">
          <cell r="C4201">
            <v>0</v>
          </cell>
          <cell r="N4201">
            <v>0</v>
          </cell>
          <cell r="O4201">
            <v>0</v>
          </cell>
          <cell r="AP4201">
            <v>0</v>
          </cell>
        </row>
        <row r="4202">
          <cell r="C4202">
            <v>0</v>
          </cell>
          <cell r="N4202">
            <v>0</v>
          </cell>
          <cell r="O4202">
            <v>0</v>
          </cell>
          <cell r="AP4202">
            <v>0</v>
          </cell>
        </row>
        <row r="4203">
          <cell r="C4203">
            <v>0</v>
          </cell>
          <cell r="N4203">
            <v>0</v>
          </cell>
          <cell r="O4203">
            <v>0</v>
          </cell>
          <cell r="AP4203">
            <v>0</v>
          </cell>
        </row>
        <row r="4204">
          <cell r="C4204">
            <v>0</v>
          </cell>
          <cell r="N4204">
            <v>0</v>
          </cell>
          <cell r="O4204">
            <v>0</v>
          </cell>
          <cell r="AP4204">
            <v>0</v>
          </cell>
        </row>
        <row r="4205">
          <cell r="C4205">
            <v>0</v>
          </cell>
          <cell r="N4205">
            <v>0</v>
          </cell>
          <cell r="O4205">
            <v>0</v>
          </cell>
          <cell r="AP4205">
            <v>0</v>
          </cell>
        </row>
        <row r="4206">
          <cell r="C4206">
            <v>0</v>
          </cell>
          <cell r="N4206">
            <v>0</v>
          </cell>
          <cell r="O4206">
            <v>0</v>
          </cell>
          <cell r="AP4206">
            <v>0</v>
          </cell>
        </row>
        <row r="4207">
          <cell r="C4207">
            <v>0</v>
          </cell>
          <cell r="N4207">
            <v>0</v>
          </cell>
          <cell r="O4207">
            <v>0</v>
          </cell>
          <cell r="AP4207">
            <v>0</v>
          </cell>
        </row>
        <row r="4208">
          <cell r="C4208">
            <v>0</v>
          </cell>
          <cell r="N4208">
            <v>0</v>
          </cell>
          <cell r="O4208">
            <v>0</v>
          </cell>
          <cell r="AP4208">
            <v>0</v>
          </cell>
        </row>
        <row r="4209">
          <cell r="C4209">
            <v>0</v>
          </cell>
          <cell r="N4209">
            <v>0</v>
          </cell>
          <cell r="O4209">
            <v>0</v>
          </cell>
          <cell r="AP4209">
            <v>0</v>
          </cell>
        </row>
        <row r="4210">
          <cell r="C4210">
            <v>0</v>
          </cell>
          <cell r="N4210">
            <v>0</v>
          </cell>
          <cell r="O4210">
            <v>0</v>
          </cell>
          <cell r="AP4210">
            <v>0</v>
          </cell>
        </row>
        <row r="4211">
          <cell r="C4211">
            <v>0</v>
          </cell>
          <cell r="N4211">
            <v>0</v>
          </cell>
          <cell r="O4211">
            <v>0</v>
          </cell>
          <cell r="AP4211">
            <v>0</v>
          </cell>
        </row>
        <row r="4212">
          <cell r="C4212">
            <v>0</v>
          </cell>
          <cell r="N4212">
            <v>0</v>
          </cell>
          <cell r="O4212">
            <v>0</v>
          </cell>
          <cell r="AP4212">
            <v>0</v>
          </cell>
        </row>
        <row r="4213">
          <cell r="C4213">
            <v>0</v>
          </cell>
          <cell r="N4213">
            <v>0</v>
          </cell>
          <cell r="O4213">
            <v>0</v>
          </cell>
          <cell r="AP4213">
            <v>0</v>
          </cell>
        </row>
        <row r="4214">
          <cell r="C4214">
            <v>0</v>
          </cell>
          <cell r="N4214">
            <v>0</v>
          </cell>
          <cell r="O4214">
            <v>0</v>
          </cell>
          <cell r="AP4214">
            <v>0</v>
          </cell>
        </row>
        <row r="4215">
          <cell r="C4215">
            <v>0</v>
          </cell>
          <cell r="N4215">
            <v>0</v>
          </cell>
          <cell r="O4215">
            <v>0</v>
          </cell>
          <cell r="AP4215">
            <v>0</v>
          </cell>
        </row>
        <row r="4216">
          <cell r="C4216">
            <v>0</v>
          </cell>
          <cell r="N4216">
            <v>0</v>
          </cell>
          <cell r="O4216">
            <v>0</v>
          </cell>
          <cell r="AP4216">
            <v>0</v>
          </cell>
        </row>
        <row r="4217">
          <cell r="C4217">
            <v>0</v>
          </cell>
          <cell r="N4217">
            <v>0</v>
          </cell>
          <cell r="O4217">
            <v>0</v>
          </cell>
          <cell r="AP4217">
            <v>0</v>
          </cell>
        </row>
        <row r="4218">
          <cell r="C4218">
            <v>0</v>
          </cell>
          <cell r="N4218">
            <v>0</v>
          </cell>
          <cell r="O4218">
            <v>0</v>
          </cell>
          <cell r="AP4218">
            <v>0</v>
          </cell>
        </row>
        <row r="4219">
          <cell r="C4219">
            <v>0</v>
          </cell>
          <cell r="N4219">
            <v>0</v>
          </cell>
          <cell r="O4219">
            <v>0</v>
          </cell>
          <cell r="AP4219">
            <v>0</v>
          </cell>
        </row>
        <row r="4220">
          <cell r="C4220">
            <v>0</v>
          </cell>
          <cell r="N4220">
            <v>0</v>
          </cell>
          <cell r="O4220">
            <v>0</v>
          </cell>
          <cell r="AP4220">
            <v>0</v>
          </cell>
        </row>
        <row r="4221">
          <cell r="C4221">
            <v>0</v>
          </cell>
          <cell r="N4221">
            <v>0</v>
          </cell>
          <cell r="O4221">
            <v>0</v>
          </cell>
          <cell r="AP4221">
            <v>0</v>
          </cell>
        </row>
        <row r="4222">
          <cell r="C4222">
            <v>0</v>
          </cell>
          <cell r="N4222">
            <v>0</v>
          </cell>
          <cell r="O4222">
            <v>0</v>
          </cell>
          <cell r="AP4222">
            <v>0</v>
          </cell>
        </row>
        <row r="4223">
          <cell r="C4223">
            <v>0</v>
          </cell>
          <cell r="N4223">
            <v>0</v>
          </cell>
          <cell r="O4223">
            <v>0</v>
          </cell>
          <cell r="AP4223">
            <v>0</v>
          </cell>
        </row>
        <row r="4224">
          <cell r="C4224">
            <v>0</v>
          </cell>
          <cell r="N4224">
            <v>0</v>
          </cell>
          <cell r="O4224">
            <v>0</v>
          </cell>
          <cell r="AP4224">
            <v>0</v>
          </cell>
        </row>
        <row r="4225">
          <cell r="C4225">
            <v>0</v>
          </cell>
          <cell r="N4225">
            <v>0</v>
          </cell>
          <cell r="O4225">
            <v>0</v>
          </cell>
          <cell r="AP4225">
            <v>0</v>
          </cell>
        </row>
        <row r="4226">
          <cell r="C4226">
            <v>0</v>
          </cell>
          <cell r="N4226">
            <v>0</v>
          </cell>
          <cell r="O4226">
            <v>0</v>
          </cell>
          <cell r="AP4226">
            <v>0</v>
          </cell>
        </row>
        <row r="4227">
          <cell r="C4227">
            <v>0</v>
          </cell>
          <cell r="N4227">
            <v>0</v>
          </cell>
          <cell r="O4227">
            <v>0</v>
          </cell>
          <cell r="AP4227">
            <v>0</v>
          </cell>
        </row>
        <row r="4228">
          <cell r="C4228">
            <v>0</v>
          </cell>
          <cell r="N4228">
            <v>0</v>
          </cell>
          <cell r="O4228">
            <v>0</v>
          </cell>
          <cell r="AP4228">
            <v>0</v>
          </cell>
        </row>
        <row r="4229">
          <cell r="C4229">
            <v>0</v>
          </cell>
          <cell r="N4229">
            <v>0</v>
          </cell>
          <cell r="O4229">
            <v>0</v>
          </cell>
          <cell r="AP4229">
            <v>0</v>
          </cell>
        </row>
        <row r="4230">
          <cell r="C4230">
            <v>0</v>
          </cell>
          <cell r="N4230">
            <v>0</v>
          </cell>
          <cell r="O4230">
            <v>0</v>
          </cell>
          <cell r="AP4230">
            <v>0</v>
          </cell>
        </row>
        <row r="4231">
          <cell r="C4231">
            <v>0</v>
          </cell>
          <cell r="N4231">
            <v>0</v>
          </cell>
          <cell r="O4231">
            <v>0</v>
          </cell>
          <cell r="AP4231">
            <v>0</v>
          </cell>
        </row>
        <row r="4232">
          <cell r="C4232">
            <v>0</v>
          </cell>
          <cell r="N4232">
            <v>0</v>
          </cell>
          <cell r="O4232">
            <v>0</v>
          </cell>
          <cell r="AP4232">
            <v>0</v>
          </cell>
        </row>
        <row r="4233">
          <cell r="C4233">
            <v>0</v>
          </cell>
          <cell r="N4233">
            <v>0</v>
          </cell>
          <cell r="O4233">
            <v>0</v>
          </cell>
          <cell r="AP4233">
            <v>0</v>
          </cell>
        </row>
        <row r="4234">
          <cell r="C4234">
            <v>0</v>
          </cell>
          <cell r="N4234">
            <v>0</v>
          </cell>
          <cell r="O4234">
            <v>0</v>
          </cell>
          <cell r="AP4234">
            <v>0</v>
          </cell>
        </row>
        <row r="4235">
          <cell r="C4235">
            <v>0</v>
          </cell>
          <cell r="N4235">
            <v>0</v>
          </cell>
          <cell r="O4235">
            <v>0</v>
          </cell>
          <cell r="AP4235">
            <v>0</v>
          </cell>
        </row>
        <row r="4236">
          <cell r="C4236">
            <v>0</v>
          </cell>
          <cell r="N4236">
            <v>0</v>
          </cell>
          <cell r="O4236">
            <v>0</v>
          </cell>
          <cell r="AP4236">
            <v>0</v>
          </cell>
        </row>
        <row r="4237">
          <cell r="C4237">
            <v>0</v>
          </cell>
          <cell r="N4237">
            <v>0</v>
          </cell>
          <cell r="O4237">
            <v>0</v>
          </cell>
          <cell r="AP4237">
            <v>0</v>
          </cell>
        </row>
        <row r="4238">
          <cell r="C4238">
            <v>0</v>
          </cell>
          <cell r="N4238">
            <v>0</v>
          </cell>
          <cell r="O4238">
            <v>0</v>
          </cell>
          <cell r="AP4238">
            <v>0</v>
          </cell>
        </row>
        <row r="4239">
          <cell r="C4239">
            <v>0</v>
          </cell>
          <cell r="N4239">
            <v>0</v>
          </cell>
          <cell r="O4239">
            <v>0</v>
          </cell>
          <cell r="AP4239">
            <v>0</v>
          </cell>
        </row>
        <row r="4240">
          <cell r="C4240">
            <v>0</v>
          </cell>
          <cell r="N4240">
            <v>0</v>
          </cell>
          <cell r="O4240">
            <v>0</v>
          </cell>
          <cell r="AP4240">
            <v>0</v>
          </cell>
        </row>
        <row r="4241">
          <cell r="C4241">
            <v>0</v>
          </cell>
          <cell r="N4241">
            <v>0</v>
          </cell>
          <cell r="O4241">
            <v>0</v>
          </cell>
          <cell r="AP4241">
            <v>0</v>
          </cell>
        </row>
        <row r="4242">
          <cell r="C4242">
            <v>0</v>
          </cell>
          <cell r="N4242">
            <v>0</v>
          </cell>
          <cell r="O4242">
            <v>0</v>
          </cell>
          <cell r="AP4242">
            <v>0</v>
          </cell>
        </row>
        <row r="4243">
          <cell r="C4243">
            <v>0</v>
          </cell>
          <cell r="N4243">
            <v>0</v>
          </cell>
          <cell r="O4243">
            <v>0</v>
          </cell>
          <cell r="AP4243">
            <v>0</v>
          </cell>
        </row>
        <row r="4244">
          <cell r="C4244">
            <v>0</v>
          </cell>
          <cell r="N4244">
            <v>0</v>
          </cell>
          <cell r="O4244">
            <v>0</v>
          </cell>
          <cell r="AP4244">
            <v>0</v>
          </cell>
        </row>
        <row r="4245">
          <cell r="C4245">
            <v>0</v>
          </cell>
          <cell r="N4245">
            <v>0</v>
          </cell>
          <cell r="O4245">
            <v>0</v>
          </cell>
          <cell r="AP4245">
            <v>0</v>
          </cell>
        </row>
        <row r="4246">
          <cell r="C4246">
            <v>0</v>
          </cell>
          <cell r="N4246">
            <v>0</v>
          </cell>
          <cell r="O4246">
            <v>0</v>
          </cell>
          <cell r="AP4246">
            <v>0</v>
          </cell>
        </row>
        <row r="4247">
          <cell r="C4247">
            <v>0</v>
          </cell>
          <cell r="N4247">
            <v>0</v>
          </cell>
          <cell r="O4247">
            <v>0</v>
          </cell>
          <cell r="AP4247">
            <v>0</v>
          </cell>
        </row>
        <row r="4248">
          <cell r="C4248">
            <v>0</v>
          </cell>
          <cell r="N4248">
            <v>0</v>
          </cell>
          <cell r="O4248">
            <v>0</v>
          </cell>
          <cell r="AP4248">
            <v>0</v>
          </cell>
        </row>
        <row r="4249">
          <cell r="C4249">
            <v>0</v>
          </cell>
          <cell r="N4249">
            <v>0</v>
          </cell>
          <cell r="O4249">
            <v>0</v>
          </cell>
          <cell r="AP4249">
            <v>0</v>
          </cell>
        </row>
        <row r="4250">
          <cell r="C4250">
            <v>0</v>
          </cell>
          <cell r="N4250">
            <v>0</v>
          </cell>
          <cell r="O4250">
            <v>0</v>
          </cell>
          <cell r="AP4250">
            <v>0</v>
          </cell>
        </row>
        <row r="4251">
          <cell r="C4251">
            <v>0</v>
          </cell>
          <cell r="N4251">
            <v>0</v>
          </cell>
          <cell r="O4251">
            <v>0</v>
          </cell>
          <cell r="AP4251">
            <v>0</v>
          </cell>
        </row>
        <row r="4252">
          <cell r="C4252">
            <v>0</v>
          </cell>
          <cell r="N4252">
            <v>0</v>
          </cell>
          <cell r="O4252">
            <v>0</v>
          </cell>
          <cell r="AP4252">
            <v>0</v>
          </cell>
        </row>
        <row r="4253">
          <cell r="C4253">
            <v>0</v>
          </cell>
          <cell r="N4253">
            <v>0</v>
          </cell>
          <cell r="O4253">
            <v>0</v>
          </cell>
          <cell r="AP4253">
            <v>0</v>
          </cell>
        </row>
        <row r="4254">
          <cell r="C4254">
            <v>0</v>
          </cell>
          <cell r="N4254">
            <v>0</v>
          </cell>
          <cell r="O4254">
            <v>0</v>
          </cell>
          <cell r="AP4254">
            <v>0</v>
          </cell>
        </row>
        <row r="4255">
          <cell r="C4255">
            <v>0</v>
          </cell>
          <cell r="N4255">
            <v>0</v>
          </cell>
          <cell r="O4255">
            <v>0</v>
          </cell>
          <cell r="AP4255">
            <v>0</v>
          </cell>
        </row>
        <row r="4256">
          <cell r="C4256">
            <v>0</v>
          </cell>
          <cell r="N4256">
            <v>0</v>
          </cell>
          <cell r="O4256">
            <v>0</v>
          </cell>
          <cell r="AP4256">
            <v>0</v>
          </cell>
        </row>
        <row r="4257">
          <cell r="C4257">
            <v>0</v>
          </cell>
          <cell r="N4257">
            <v>0</v>
          </cell>
          <cell r="O4257">
            <v>0</v>
          </cell>
          <cell r="AP4257">
            <v>0</v>
          </cell>
        </row>
        <row r="4258">
          <cell r="C4258">
            <v>0</v>
          </cell>
          <cell r="N4258">
            <v>0</v>
          </cell>
          <cell r="O4258">
            <v>0</v>
          </cell>
          <cell r="AP4258">
            <v>0</v>
          </cell>
        </row>
        <row r="4259">
          <cell r="C4259">
            <v>0</v>
          </cell>
          <cell r="N4259">
            <v>0</v>
          </cell>
          <cell r="O4259">
            <v>0</v>
          </cell>
          <cell r="AP4259">
            <v>0</v>
          </cell>
        </row>
        <row r="4260">
          <cell r="C4260">
            <v>0</v>
          </cell>
          <cell r="N4260">
            <v>0</v>
          </cell>
          <cell r="O4260">
            <v>0</v>
          </cell>
          <cell r="AP4260">
            <v>0</v>
          </cell>
        </row>
        <row r="4261">
          <cell r="C4261">
            <v>0</v>
          </cell>
          <cell r="N4261">
            <v>0</v>
          </cell>
          <cell r="O4261">
            <v>0</v>
          </cell>
          <cell r="AP4261">
            <v>0</v>
          </cell>
        </row>
        <row r="4262">
          <cell r="C4262">
            <v>0</v>
          </cell>
          <cell r="N4262">
            <v>0</v>
          </cell>
          <cell r="O4262">
            <v>0</v>
          </cell>
          <cell r="AP4262">
            <v>0</v>
          </cell>
        </row>
        <row r="4263">
          <cell r="C4263">
            <v>0</v>
          </cell>
          <cell r="N4263">
            <v>0</v>
          </cell>
          <cell r="O4263">
            <v>0</v>
          </cell>
          <cell r="AP4263">
            <v>0</v>
          </cell>
        </row>
        <row r="4264">
          <cell r="C4264">
            <v>0</v>
          </cell>
          <cell r="N4264">
            <v>0</v>
          </cell>
          <cell r="O4264">
            <v>0</v>
          </cell>
          <cell r="AP4264">
            <v>0</v>
          </cell>
        </row>
        <row r="4265">
          <cell r="C4265">
            <v>0</v>
          </cell>
          <cell r="N4265">
            <v>0</v>
          </cell>
          <cell r="O4265">
            <v>0</v>
          </cell>
          <cell r="AP4265">
            <v>0</v>
          </cell>
        </row>
        <row r="4266">
          <cell r="C4266">
            <v>0</v>
          </cell>
          <cell r="N4266">
            <v>0</v>
          </cell>
          <cell r="O4266">
            <v>0</v>
          </cell>
          <cell r="AP4266">
            <v>0</v>
          </cell>
        </row>
        <row r="4267">
          <cell r="C4267">
            <v>0</v>
          </cell>
          <cell r="N4267">
            <v>0</v>
          </cell>
          <cell r="O4267">
            <v>0</v>
          </cell>
          <cell r="AP4267">
            <v>0</v>
          </cell>
        </row>
        <row r="4268">
          <cell r="C4268">
            <v>0</v>
          </cell>
          <cell r="N4268">
            <v>0</v>
          </cell>
          <cell r="O4268">
            <v>0</v>
          </cell>
          <cell r="AP4268">
            <v>0</v>
          </cell>
        </row>
        <row r="4269">
          <cell r="C4269">
            <v>0</v>
          </cell>
          <cell r="N4269">
            <v>0</v>
          </cell>
          <cell r="O4269">
            <v>0</v>
          </cell>
          <cell r="AP4269">
            <v>0</v>
          </cell>
        </row>
        <row r="4270">
          <cell r="C4270">
            <v>0</v>
          </cell>
          <cell r="N4270">
            <v>0</v>
          </cell>
          <cell r="O4270">
            <v>0</v>
          </cell>
          <cell r="AP4270">
            <v>0</v>
          </cell>
        </row>
        <row r="4271">
          <cell r="C4271">
            <v>0</v>
          </cell>
          <cell r="N4271">
            <v>0</v>
          </cell>
          <cell r="O4271">
            <v>0</v>
          </cell>
          <cell r="AP4271">
            <v>0</v>
          </cell>
        </row>
        <row r="4272">
          <cell r="C4272">
            <v>0</v>
          </cell>
          <cell r="N4272">
            <v>0</v>
          </cell>
          <cell r="O4272">
            <v>0</v>
          </cell>
          <cell r="AP4272">
            <v>0</v>
          </cell>
        </row>
        <row r="4273">
          <cell r="C4273">
            <v>0</v>
          </cell>
          <cell r="N4273">
            <v>0</v>
          </cell>
          <cell r="O4273">
            <v>0</v>
          </cell>
          <cell r="AP4273">
            <v>0</v>
          </cell>
        </row>
        <row r="4274">
          <cell r="C4274">
            <v>0</v>
          </cell>
          <cell r="N4274">
            <v>0</v>
          </cell>
          <cell r="O4274">
            <v>0</v>
          </cell>
          <cell r="AP4274">
            <v>0</v>
          </cell>
        </row>
        <row r="4275">
          <cell r="C4275">
            <v>0</v>
          </cell>
          <cell r="N4275">
            <v>0</v>
          </cell>
          <cell r="O4275">
            <v>0</v>
          </cell>
          <cell r="AP4275">
            <v>0</v>
          </cell>
        </row>
        <row r="4276">
          <cell r="C4276">
            <v>0</v>
          </cell>
          <cell r="N4276">
            <v>0</v>
          </cell>
          <cell r="O4276">
            <v>0</v>
          </cell>
          <cell r="AP4276">
            <v>0</v>
          </cell>
        </row>
        <row r="4277">
          <cell r="C4277">
            <v>0</v>
          </cell>
          <cell r="N4277">
            <v>0</v>
          </cell>
          <cell r="O4277">
            <v>0</v>
          </cell>
          <cell r="AP4277">
            <v>0</v>
          </cell>
        </row>
        <row r="4278">
          <cell r="C4278">
            <v>0</v>
          </cell>
          <cell r="N4278">
            <v>0</v>
          </cell>
          <cell r="O4278">
            <v>0</v>
          </cell>
          <cell r="AP4278">
            <v>0</v>
          </cell>
        </row>
        <row r="4279">
          <cell r="C4279">
            <v>0</v>
          </cell>
          <cell r="N4279">
            <v>0</v>
          </cell>
          <cell r="O4279">
            <v>0</v>
          </cell>
          <cell r="AP4279">
            <v>0</v>
          </cell>
        </row>
        <row r="4280">
          <cell r="C4280">
            <v>0</v>
          </cell>
          <cell r="N4280">
            <v>0</v>
          </cell>
          <cell r="O4280">
            <v>0</v>
          </cell>
          <cell r="AP4280">
            <v>0</v>
          </cell>
        </row>
        <row r="4281">
          <cell r="C4281">
            <v>0</v>
          </cell>
          <cell r="N4281">
            <v>0</v>
          </cell>
          <cell r="O4281">
            <v>0</v>
          </cell>
          <cell r="AP4281">
            <v>0</v>
          </cell>
        </row>
        <row r="4282">
          <cell r="C4282">
            <v>0</v>
          </cell>
          <cell r="N4282">
            <v>0</v>
          </cell>
          <cell r="O4282">
            <v>0</v>
          </cell>
          <cell r="AP4282">
            <v>0</v>
          </cell>
        </row>
        <row r="4283">
          <cell r="C4283">
            <v>0</v>
          </cell>
          <cell r="N4283">
            <v>0</v>
          </cell>
          <cell r="O4283">
            <v>0</v>
          </cell>
          <cell r="AP4283">
            <v>0</v>
          </cell>
        </row>
        <row r="4284">
          <cell r="C4284">
            <v>0</v>
          </cell>
          <cell r="N4284">
            <v>0</v>
          </cell>
          <cell r="O4284">
            <v>0</v>
          </cell>
          <cell r="AP4284">
            <v>0</v>
          </cell>
        </row>
        <row r="4285">
          <cell r="C4285">
            <v>0</v>
          </cell>
          <cell r="N4285">
            <v>0</v>
          </cell>
          <cell r="O4285">
            <v>0</v>
          </cell>
          <cell r="AP4285">
            <v>0</v>
          </cell>
        </row>
        <row r="4286">
          <cell r="C4286">
            <v>0</v>
          </cell>
          <cell r="N4286">
            <v>0</v>
          </cell>
          <cell r="O4286">
            <v>0</v>
          </cell>
          <cell r="AP4286">
            <v>0</v>
          </cell>
        </row>
        <row r="4287">
          <cell r="C4287">
            <v>0</v>
          </cell>
          <cell r="N4287">
            <v>0</v>
          </cell>
          <cell r="O4287">
            <v>0</v>
          </cell>
          <cell r="AP4287">
            <v>0</v>
          </cell>
        </row>
        <row r="4288">
          <cell r="C4288">
            <v>0</v>
          </cell>
          <cell r="N4288">
            <v>0</v>
          </cell>
          <cell r="O4288">
            <v>0</v>
          </cell>
          <cell r="AP4288">
            <v>0</v>
          </cell>
        </row>
        <row r="4289">
          <cell r="C4289">
            <v>0</v>
          </cell>
          <cell r="N4289">
            <v>0</v>
          </cell>
          <cell r="O4289">
            <v>0</v>
          </cell>
          <cell r="AP4289">
            <v>0</v>
          </cell>
        </row>
        <row r="4290">
          <cell r="C4290">
            <v>0</v>
          </cell>
          <cell r="N4290">
            <v>0</v>
          </cell>
          <cell r="O4290">
            <v>0</v>
          </cell>
          <cell r="AP4290">
            <v>0</v>
          </cell>
        </row>
        <row r="4291">
          <cell r="C4291">
            <v>0</v>
          </cell>
          <cell r="N4291">
            <v>0</v>
          </cell>
          <cell r="O4291">
            <v>0</v>
          </cell>
          <cell r="AP4291">
            <v>0</v>
          </cell>
        </row>
        <row r="4292">
          <cell r="C4292">
            <v>0</v>
          </cell>
          <cell r="N4292">
            <v>0</v>
          </cell>
          <cell r="O4292">
            <v>0</v>
          </cell>
          <cell r="AP4292">
            <v>0</v>
          </cell>
        </row>
        <row r="4293">
          <cell r="C4293">
            <v>0</v>
          </cell>
          <cell r="N4293">
            <v>0</v>
          </cell>
          <cell r="O4293">
            <v>0</v>
          </cell>
          <cell r="AP4293">
            <v>0</v>
          </cell>
        </row>
        <row r="4294">
          <cell r="C4294">
            <v>0</v>
          </cell>
          <cell r="N4294">
            <v>0</v>
          </cell>
          <cell r="O4294">
            <v>0</v>
          </cell>
          <cell r="AP4294">
            <v>0</v>
          </cell>
        </row>
        <row r="4295">
          <cell r="C4295">
            <v>0</v>
          </cell>
          <cell r="N4295">
            <v>0</v>
          </cell>
          <cell r="O4295">
            <v>0</v>
          </cell>
          <cell r="AP4295">
            <v>0</v>
          </cell>
        </row>
        <row r="4296">
          <cell r="C4296">
            <v>0</v>
          </cell>
          <cell r="N4296">
            <v>0</v>
          </cell>
          <cell r="O4296">
            <v>0</v>
          </cell>
          <cell r="AP4296">
            <v>0</v>
          </cell>
        </row>
        <row r="4297">
          <cell r="C4297">
            <v>0</v>
          </cell>
          <cell r="N4297">
            <v>0</v>
          </cell>
          <cell r="O4297">
            <v>0</v>
          </cell>
          <cell r="AP4297">
            <v>0</v>
          </cell>
        </row>
        <row r="4298">
          <cell r="C4298">
            <v>0</v>
          </cell>
          <cell r="N4298">
            <v>0</v>
          </cell>
          <cell r="O4298">
            <v>0</v>
          </cell>
          <cell r="AP4298">
            <v>0</v>
          </cell>
        </row>
        <row r="4299">
          <cell r="C4299">
            <v>0</v>
          </cell>
          <cell r="N4299">
            <v>0</v>
          </cell>
          <cell r="O4299">
            <v>0</v>
          </cell>
          <cell r="AP4299">
            <v>0</v>
          </cell>
        </row>
        <row r="4300">
          <cell r="C4300">
            <v>0</v>
          </cell>
          <cell r="N4300">
            <v>0</v>
          </cell>
          <cell r="O4300">
            <v>0</v>
          </cell>
          <cell r="AP4300">
            <v>0</v>
          </cell>
        </row>
        <row r="4301">
          <cell r="C4301">
            <v>0</v>
          </cell>
          <cell r="N4301">
            <v>0</v>
          </cell>
          <cell r="O4301">
            <v>0</v>
          </cell>
          <cell r="AP4301">
            <v>0</v>
          </cell>
        </row>
        <row r="4302">
          <cell r="C4302">
            <v>0</v>
          </cell>
          <cell r="N4302">
            <v>0</v>
          </cell>
          <cell r="O4302">
            <v>0</v>
          </cell>
          <cell r="AP4302">
            <v>0</v>
          </cell>
        </row>
        <row r="4303">
          <cell r="C4303">
            <v>0</v>
          </cell>
          <cell r="N4303">
            <v>0</v>
          </cell>
          <cell r="O4303">
            <v>0</v>
          </cell>
          <cell r="AP4303">
            <v>0</v>
          </cell>
        </row>
        <row r="4304">
          <cell r="C4304">
            <v>0</v>
          </cell>
          <cell r="N4304">
            <v>0</v>
          </cell>
          <cell r="O4304">
            <v>0</v>
          </cell>
          <cell r="AP4304">
            <v>0</v>
          </cell>
        </row>
        <row r="4305">
          <cell r="C4305">
            <v>0</v>
          </cell>
          <cell r="N4305">
            <v>0</v>
          </cell>
          <cell r="O4305">
            <v>0</v>
          </cell>
          <cell r="AP4305">
            <v>0</v>
          </cell>
        </row>
        <row r="4306">
          <cell r="C4306">
            <v>0</v>
          </cell>
          <cell r="N4306">
            <v>0</v>
          </cell>
          <cell r="O4306">
            <v>0</v>
          </cell>
          <cell r="AP4306">
            <v>0</v>
          </cell>
        </row>
        <row r="4307">
          <cell r="C4307">
            <v>0</v>
          </cell>
          <cell r="N4307">
            <v>0</v>
          </cell>
          <cell r="O4307">
            <v>0</v>
          </cell>
          <cell r="AP4307">
            <v>0</v>
          </cell>
        </row>
        <row r="4308">
          <cell r="C4308">
            <v>0</v>
          </cell>
          <cell r="N4308">
            <v>0</v>
          </cell>
          <cell r="O4308">
            <v>0</v>
          </cell>
          <cell r="AP4308">
            <v>0</v>
          </cell>
        </row>
        <row r="4309">
          <cell r="C4309">
            <v>0</v>
          </cell>
          <cell r="N4309">
            <v>0</v>
          </cell>
          <cell r="O4309">
            <v>0</v>
          </cell>
          <cell r="AP4309">
            <v>0</v>
          </cell>
        </row>
        <row r="4310">
          <cell r="C4310">
            <v>0</v>
          </cell>
          <cell r="N4310">
            <v>0</v>
          </cell>
          <cell r="O4310">
            <v>0</v>
          </cell>
          <cell r="AP4310">
            <v>0</v>
          </cell>
        </row>
        <row r="4311">
          <cell r="C4311">
            <v>0</v>
          </cell>
          <cell r="N4311">
            <v>0</v>
          </cell>
          <cell r="O4311">
            <v>0</v>
          </cell>
          <cell r="AP4311">
            <v>0</v>
          </cell>
        </row>
        <row r="4312">
          <cell r="C4312">
            <v>0</v>
          </cell>
          <cell r="N4312">
            <v>0</v>
          </cell>
          <cell r="O4312">
            <v>0</v>
          </cell>
          <cell r="AP4312">
            <v>0</v>
          </cell>
        </row>
        <row r="4313">
          <cell r="C4313">
            <v>0</v>
          </cell>
          <cell r="N4313">
            <v>0</v>
          </cell>
          <cell r="O4313">
            <v>0</v>
          </cell>
          <cell r="AP4313">
            <v>0</v>
          </cell>
        </row>
        <row r="4314">
          <cell r="C4314">
            <v>0</v>
          </cell>
          <cell r="N4314">
            <v>0</v>
          </cell>
          <cell r="O4314">
            <v>0</v>
          </cell>
          <cell r="AP4314">
            <v>0</v>
          </cell>
        </row>
        <row r="4315">
          <cell r="C4315">
            <v>0</v>
          </cell>
          <cell r="N4315">
            <v>0</v>
          </cell>
          <cell r="O4315">
            <v>0</v>
          </cell>
          <cell r="AP4315">
            <v>0</v>
          </cell>
        </row>
        <row r="4316">
          <cell r="C4316">
            <v>0</v>
          </cell>
          <cell r="N4316">
            <v>0</v>
          </cell>
          <cell r="O4316">
            <v>0</v>
          </cell>
          <cell r="AP4316">
            <v>0</v>
          </cell>
        </row>
        <row r="4317">
          <cell r="C4317">
            <v>0</v>
          </cell>
          <cell r="N4317">
            <v>0</v>
          </cell>
          <cell r="O4317">
            <v>0</v>
          </cell>
          <cell r="AP4317">
            <v>0</v>
          </cell>
        </row>
        <row r="4318">
          <cell r="C4318">
            <v>0</v>
          </cell>
          <cell r="N4318">
            <v>0</v>
          </cell>
          <cell r="O4318">
            <v>0</v>
          </cell>
          <cell r="AP4318">
            <v>0</v>
          </cell>
        </row>
        <row r="4319">
          <cell r="C4319">
            <v>0</v>
          </cell>
          <cell r="N4319">
            <v>0</v>
          </cell>
          <cell r="O4319">
            <v>0</v>
          </cell>
          <cell r="AP4319">
            <v>0</v>
          </cell>
        </row>
        <row r="4320">
          <cell r="C4320">
            <v>0</v>
          </cell>
          <cell r="N4320">
            <v>0</v>
          </cell>
          <cell r="O4320">
            <v>0</v>
          </cell>
          <cell r="AP4320">
            <v>0</v>
          </cell>
        </row>
        <row r="4321">
          <cell r="C4321">
            <v>0</v>
          </cell>
          <cell r="N4321">
            <v>0</v>
          </cell>
          <cell r="O4321">
            <v>0</v>
          </cell>
          <cell r="AP4321">
            <v>0</v>
          </cell>
        </row>
        <row r="4322">
          <cell r="C4322">
            <v>0</v>
          </cell>
          <cell r="N4322">
            <v>0</v>
          </cell>
          <cell r="O4322">
            <v>0</v>
          </cell>
          <cell r="AP4322">
            <v>0</v>
          </cell>
        </row>
        <row r="4323">
          <cell r="C4323">
            <v>0</v>
          </cell>
          <cell r="N4323">
            <v>0</v>
          </cell>
          <cell r="O4323">
            <v>0</v>
          </cell>
          <cell r="AP4323">
            <v>0</v>
          </cell>
        </row>
        <row r="4324">
          <cell r="C4324">
            <v>0</v>
          </cell>
          <cell r="N4324">
            <v>0</v>
          </cell>
          <cell r="O4324">
            <v>0</v>
          </cell>
          <cell r="AP4324">
            <v>0</v>
          </cell>
        </row>
        <row r="4325">
          <cell r="C4325">
            <v>0</v>
          </cell>
          <cell r="N4325">
            <v>0</v>
          </cell>
          <cell r="O4325">
            <v>0</v>
          </cell>
          <cell r="AP4325">
            <v>0</v>
          </cell>
        </row>
        <row r="4326">
          <cell r="C4326">
            <v>0</v>
          </cell>
          <cell r="N4326">
            <v>0</v>
          </cell>
          <cell r="O4326">
            <v>0</v>
          </cell>
          <cell r="AP4326">
            <v>0</v>
          </cell>
        </row>
        <row r="4327">
          <cell r="C4327">
            <v>0</v>
          </cell>
          <cell r="N4327">
            <v>0</v>
          </cell>
          <cell r="O4327">
            <v>0</v>
          </cell>
          <cell r="AP4327">
            <v>0</v>
          </cell>
        </row>
        <row r="4328">
          <cell r="C4328">
            <v>0</v>
          </cell>
          <cell r="N4328">
            <v>0</v>
          </cell>
          <cell r="O4328">
            <v>0</v>
          </cell>
          <cell r="AP4328">
            <v>0</v>
          </cell>
        </row>
        <row r="4329">
          <cell r="C4329">
            <v>0</v>
          </cell>
          <cell r="N4329">
            <v>0</v>
          </cell>
          <cell r="O4329">
            <v>0</v>
          </cell>
          <cell r="AP4329">
            <v>0</v>
          </cell>
        </row>
        <row r="4330">
          <cell r="C4330">
            <v>0</v>
          </cell>
          <cell r="N4330">
            <v>0</v>
          </cell>
          <cell r="O4330">
            <v>0</v>
          </cell>
          <cell r="AP4330">
            <v>0</v>
          </cell>
        </row>
        <row r="4331">
          <cell r="C4331">
            <v>0</v>
          </cell>
          <cell r="N4331">
            <v>0</v>
          </cell>
          <cell r="O4331">
            <v>0</v>
          </cell>
          <cell r="AP4331">
            <v>0</v>
          </cell>
        </row>
        <row r="4332">
          <cell r="C4332">
            <v>0</v>
          </cell>
          <cell r="N4332">
            <v>0</v>
          </cell>
          <cell r="O4332">
            <v>0</v>
          </cell>
          <cell r="AP4332">
            <v>0</v>
          </cell>
        </row>
        <row r="4333">
          <cell r="C4333">
            <v>0</v>
          </cell>
          <cell r="N4333">
            <v>0</v>
          </cell>
          <cell r="O4333">
            <v>0</v>
          </cell>
          <cell r="AP4333">
            <v>0</v>
          </cell>
        </row>
        <row r="4334">
          <cell r="C4334">
            <v>0</v>
          </cell>
          <cell r="N4334">
            <v>0</v>
          </cell>
          <cell r="O4334">
            <v>0</v>
          </cell>
          <cell r="AP4334">
            <v>0</v>
          </cell>
        </row>
        <row r="4335">
          <cell r="C4335">
            <v>0</v>
          </cell>
          <cell r="N4335">
            <v>0</v>
          </cell>
          <cell r="O4335">
            <v>0</v>
          </cell>
          <cell r="AP4335">
            <v>0</v>
          </cell>
        </row>
        <row r="4336">
          <cell r="C4336">
            <v>0</v>
          </cell>
          <cell r="N4336">
            <v>0</v>
          </cell>
          <cell r="O4336">
            <v>0</v>
          </cell>
          <cell r="AP4336">
            <v>0</v>
          </cell>
        </row>
        <row r="4337">
          <cell r="C4337">
            <v>0</v>
          </cell>
          <cell r="N4337">
            <v>0</v>
          </cell>
          <cell r="O4337">
            <v>0</v>
          </cell>
          <cell r="AP4337">
            <v>0</v>
          </cell>
        </row>
        <row r="4338">
          <cell r="C4338">
            <v>0</v>
          </cell>
          <cell r="N4338">
            <v>0</v>
          </cell>
          <cell r="O4338">
            <v>0</v>
          </cell>
          <cell r="AP4338">
            <v>0</v>
          </cell>
        </row>
        <row r="4339">
          <cell r="C4339">
            <v>0</v>
          </cell>
          <cell r="N4339">
            <v>0</v>
          </cell>
          <cell r="O4339">
            <v>0</v>
          </cell>
          <cell r="AP4339">
            <v>0</v>
          </cell>
        </row>
        <row r="4340">
          <cell r="C4340">
            <v>0</v>
          </cell>
          <cell r="N4340">
            <v>0</v>
          </cell>
          <cell r="O4340">
            <v>0</v>
          </cell>
          <cell r="AP4340">
            <v>0</v>
          </cell>
        </row>
        <row r="4341">
          <cell r="C4341">
            <v>0</v>
          </cell>
          <cell r="N4341">
            <v>0</v>
          </cell>
          <cell r="O4341">
            <v>0</v>
          </cell>
          <cell r="AP4341">
            <v>0</v>
          </cell>
        </row>
        <row r="4342">
          <cell r="C4342">
            <v>0</v>
          </cell>
          <cell r="N4342">
            <v>0</v>
          </cell>
          <cell r="O4342">
            <v>0</v>
          </cell>
          <cell r="AP4342">
            <v>0</v>
          </cell>
        </row>
        <row r="4343">
          <cell r="C4343">
            <v>0</v>
          </cell>
          <cell r="N4343">
            <v>0</v>
          </cell>
          <cell r="O4343">
            <v>0</v>
          </cell>
          <cell r="AP4343">
            <v>0</v>
          </cell>
        </row>
        <row r="4344">
          <cell r="C4344">
            <v>0</v>
          </cell>
          <cell r="N4344">
            <v>0</v>
          </cell>
          <cell r="O4344">
            <v>0</v>
          </cell>
          <cell r="AP4344">
            <v>0</v>
          </cell>
        </row>
        <row r="4345">
          <cell r="C4345">
            <v>0</v>
          </cell>
          <cell r="N4345">
            <v>0</v>
          </cell>
          <cell r="O4345">
            <v>0</v>
          </cell>
          <cell r="AP4345">
            <v>0</v>
          </cell>
        </row>
        <row r="4346">
          <cell r="C4346">
            <v>0</v>
          </cell>
          <cell r="N4346">
            <v>0</v>
          </cell>
          <cell r="O4346">
            <v>0</v>
          </cell>
          <cell r="AP4346">
            <v>0</v>
          </cell>
        </row>
        <row r="4347">
          <cell r="C4347">
            <v>0</v>
          </cell>
          <cell r="N4347">
            <v>0</v>
          </cell>
          <cell r="O4347">
            <v>0</v>
          </cell>
          <cell r="AP4347">
            <v>0</v>
          </cell>
        </row>
        <row r="4348">
          <cell r="C4348">
            <v>0</v>
          </cell>
          <cell r="N4348">
            <v>0</v>
          </cell>
          <cell r="O4348">
            <v>0</v>
          </cell>
          <cell r="AP4348">
            <v>0</v>
          </cell>
        </row>
        <row r="4349">
          <cell r="C4349">
            <v>0</v>
          </cell>
          <cell r="N4349">
            <v>0</v>
          </cell>
          <cell r="O4349">
            <v>0</v>
          </cell>
          <cell r="AP4349">
            <v>0</v>
          </cell>
        </row>
        <row r="4350">
          <cell r="C4350">
            <v>0</v>
          </cell>
          <cell r="N4350">
            <v>0</v>
          </cell>
          <cell r="O4350">
            <v>0</v>
          </cell>
          <cell r="AP4350">
            <v>0</v>
          </cell>
        </row>
        <row r="4351">
          <cell r="C4351">
            <v>0</v>
          </cell>
          <cell r="N4351">
            <v>0</v>
          </cell>
          <cell r="O4351">
            <v>0</v>
          </cell>
          <cell r="AP4351">
            <v>0</v>
          </cell>
        </row>
        <row r="4352">
          <cell r="C4352">
            <v>0</v>
          </cell>
          <cell r="N4352">
            <v>0</v>
          </cell>
          <cell r="O4352">
            <v>0</v>
          </cell>
          <cell r="AP4352">
            <v>0</v>
          </cell>
        </row>
        <row r="4353">
          <cell r="C4353">
            <v>0</v>
          </cell>
          <cell r="N4353">
            <v>0</v>
          </cell>
          <cell r="O4353">
            <v>0</v>
          </cell>
          <cell r="AP4353">
            <v>0</v>
          </cell>
        </row>
        <row r="4354">
          <cell r="C4354">
            <v>0</v>
          </cell>
          <cell r="N4354">
            <v>0</v>
          </cell>
          <cell r="O4354">
            <v>0</v>
          </cell>
          <cell r="AP4354">
            <v>0</v>
          </cell>
        </row>
        <row r="4355">
          <cell r="C4355">
            <v>0</v>
          </cell>
          <cell r="N4355">
            <v>0</v>
          </cell>
          <cell r="O4355">
            <v>0</v>
          </cell>
          <cell r="AP4355">
            <v>0</v>
          </cell>
        </row>
        <row r="4356">
          <cell r="C4356">
            <v>0</v>
          </cell>
          <cell r="N4356">
            <v>0</v>
          </cell>
          <cell r="O4356">
            <v>0</v>
          </cell>
          <cell r="AP4356">
            <v>0</v>
          </cell>
        </row>
        <row r="4357">
          <cell r="C4357">
            <v>0</v>
          </cell>
          <cell r="N4357">
            <v>0</v>
          </cell>
          <cell r="O4357">
            <v>0</v>
          </cell>
          <cell r="AP4357">
            <v>0</v>
          </cell>
        </row>
        <row r="4358">
          <cell r="C4358">
            <v>0</v>
          </cell>
          <cell r="N4358">
            <v>0</v>
          </cell>
          <cell r="O4358">
            <v>0</v>
          </cell>
          <cell r="AP4358">
            <v>0</v>
          </cell>
        </row>
        <row r="4359">
          <cell r="C4359">
            <v>0</v>
          </cell>
          <cell r="N4359">
            <v>0</v>
          </cell>
          <cell r="O4359">
            <v>0</v>
          </cell>
          <cell r="AP4359">
            <v>0</v>
          </cell>
        </row>
        <row r="4360">
          <cell r="C4360">
            <v>0</v>
          </cell>
          <cell r="N4360">
            <v>0</v>
          </cell>
          <cell r="O4360">
            <v>0</v>
          </cell>
          <cell r="AP4360">
            <v>0</v>
          </cell>
        </row>
        <row r="4361">
          <cell r="C4361">
            <v>0</v>
          </cell>
          <cell r="N4361">
            <v>0</v>
          </cell>
          <cell r="O4361">
            <v>0</v>
          </cell>
          <cell r="AP4361">
            <v>0</v>
          </cell>
        </row>
        <row r="4362">
          <cell r="C4362">
            <v>0</v>
          </cell>
          <cell r="N4362">
            <v>0</v>
          </cell>
          <cell r="O4362">
            <v>0</v>
          </cell>
          <cell r="AP4362">
            <v>0</v>
          </cell>
        </row>
        <row r="4363">
          <cell r="C4363">
            <v>0</v>
          </cell>
          <cell r="N4363">
            <v>0</v>
          </cell>
          <cell r="O4363">
            <v>0</v>
          </cell>
          <cell r="AP4363">
            <v>0</v>
          </cell>
        </row>
        <row r="4364">
          <cell r="C4364">
            <v>0</v>
          </cell>
          <cell r="N4364">
            <v>0</v>
          </cell>
          <cell r="O4364">
            <v>0</v>
          </cell>
          <cell r="AP4364">
            <v>0</v>
          </cell>
        </row>
        <row r="4365">
          <cell r="C4365">
            <v>0</v>
          </cell>
          <cell r="N4365">
            <v>0</v>
          </cell>
          <cell r="O4365">
            <v>0</v>
          </cell>
          <cell r="AP4365">
            <v>0</v>
          </cell>
        </row>
        <row r="4366">
          <cell r="C4366">
            <v>0</v>
          </cell>
          <cell r="N4366">
            <v>0</v>
          </cell>
          <cell r="O4366">
            <v>0</v>
          </cell>
          <cell r="AP4366">
            <v>0</v>
          </cell>
        </row>
        <row r="4367">
          <cell r="C4367">
            <v>0</v>
          </cell>
          <cell r="N4367">
            <v>0</v>
          </cell>
          <cell r="O4367">
            <v>0</v>
          </cell>
          <cell r="AP4367">
            <v>0</v>
          </cell>
        </row>
        <row r="4368">
          <cell r="C4368">
            <v>0</v>
          </cell>
          <cell r="N4368">
            <v>0</v>
          </cell>
          <cell r="O4368">
            <v>0</v>
          </cell>
          <cell r="AP4368">
            <v>0</v>
          </cell>
        </row>
        <row r="4369">
          <cell r="C4369">
            <v>0</v>
          </cell>
          <cell r="N4369">
            <v>0</v>
          </cell>
          <cell r="O4369">
            <v>0</v>
          </cell>
          <cell r="AP4369">
            <v>0</v>
          </cell>
        </row>
        <row r="4370">
          <cell r="C4370">
            <v>0</v>
          </cell>
          <cell r="N4370">
            <v>0</v>
          </cell>
          <cell r="O4370">
            <v>0</v>
          </cell>
          <cell r="AP4370">
            <v>0</v>
          </cell>
        </row>
        <row r="4371">
          <cell r="C4371">
            <v>0</v>
          </cell>
          <cell r="N4371">
            <v>0</v>
          </cell>
          <cell r="O4371">
            <v>0</v>
          </cell>
          <cell r="AP4371">
            <v>0</v>
          </cell>
        </row>
        <row r="4372">
          <cell r="C4372">
            <v>0</v>
          </cell>
          <cell r="N4372">
            <v>0</v>
          </cell>
          <cell r="O4372">
            <v>0</v>
          </cell>
          <cell r="AP4372">
            <v>0</v>
          </cell>
        </row>
        <row r="4373">
          <cell r="C4373">
            <v>0</v>
          </cell>
          <cell r="N4373">
            <v>0</v>
          </cell>
          <cell r="O4373">
            <v>0</v>
          </cell>
          <cell r="AP4373">
            <v>0</v>
          </cell>
        </row>
        <row r="4374">
          <cell r="C4374">
            <v>0</v>
          </cell>
          <cell r="N4374">
            <v>0</v>
          </cell>
          <cell r="O4374">
            <v>0</v>
          </cell>
          <cell r="AP4374">
            <v>0</v>
          </cell>
        </row>
        <row r="4375">
          <cell r="C4375">
            <v>0</v>
          </cell>
          <cell r="N4375">
            <v>0</v>
          </cell>
          <cell r="O4375">
            <v>0</v>
          </cell>
          <cell r="AP4375">
            <v>0</v>
          </cell>
        </row>
        <row r="4376">
          <cell r="C4376">
            <v>0</v>
          </cell>
          <cell r="N4376">
            <v>0</v>
          </cell>
          <cell r="O4376">
            <v>0</v>
          </cell>
          <cell r="AP4376">
            <v>0</v>
          </cell>
        </row>
        <row r="4377">
          <cell r="C4377">
            <v>0</v>
          </cell>
          <cell r="N4377">
            <v>0</v>
          </cell>
          <cell r="O4377">
            <v>0</v>
          </cell>
          <cell r="AP4377">
            <v>0</v>
          </cell>
        </row>
        <row r="4378">
          <cell r="C4378">
            <v>0</v>
          </cell>
          <cell r="N4378">
            <v>0</v>
          </cell>
          <cell r="O4378">
            <v>0</v>
          </cell>
          <cell r="AP4378">
            <v>0</v>
          </cell>
        </row>
        <row r="4379">
          <cell r="C4379">
            <v>0</v>
          </cell>
          <cell r="N4379">
            <v>0</v>
          </cell>
          <cell r="O4379">
            <v>0</v>
          </cell>
          <cell r="AP4379">
            <v>0</v>
          </cell>
        </row>
        <row r="4380">
          <cell r="C4380">
            <v>0</v>
          </cell>
          <cell r="N4380">
            <v>0</v>
          </cell>
          <cell r="O4380">
            <v>0</v>
          </cell>
          <cell r="AP4380">
            <v>0</v>
          </cell>
        </row>
        <row r="4381">
          <cell r="C4381">
            <v>0</v>
          </cell>
          <cell r="N4381">
            <v>0</v>
          </cell>
          <cell r="O4381">
            <v>0</v>
          </cell>
          <cell r="AP4381">
            <v>0</v>
          </cell>
        </row>
        <row r="4382">
          <cell r="C4382">
            <v>0</v>
          </cell>
          <cell r="N4382">
            <v>0</v>
          </cell>
          <cell r="O4382">
            <v>0</v>
          </cell>
          <cell r="AP4382">
            <v>0</v>
          </cell>
        </row>
        <row r="4383">
          <cell r="C4383">
            <v>0</v>
          </cell>
          <cell r="N4383">
            <v>0</v>
          </cell>
          <cell r="O4383">
            <v>0</v>
          </cell>
          <cell r="AP4383">
            <v>0</v>
          </cell>
        </row>
        <row r="4384">
          <cell r="C4384">
            <v>0</v>
          </cell>
          <cell r="N4384">
            <v>0</v>
          </cell>
          <cell r="O4384">
            <v>0</v>
          </cell>
          <cell r="AP4384">
            <v>0</v>
          </cell>
        </row>
        <row r="4385">
          <cell r="C4385">
            <v>0</v>
          </cell>
          <cell r="N4385">
            <v>0</v>
          </cell>
          <cell r="O4385">
            <v>0</v>
          </cell>
          <cell r="AP4385">
            <v>0</v>
          </cell>
        </row>
        <row r="4386">
          <cell r="C4386">
            <v>0</v>
          </cell>
          <cell r="N4386">
            <v>0</v>
          </cell>
          <cell r="O4386">
            <v>0</v>
          </cell>
          <cell r="AP4386">
            <v>0</v>
          </cell>
        </row>
        <row r="4387">
          <cell r="C4387">
            <v>0</v>
          </cell>
          <cell r="N4387">
            <v>0</v>
          </cell>
          <cell r="O4387">
            <v>0</v>
          </cell>
          <cell r="AP4387">
            <v>0</v>
          </cell>
        </row>
        <row r="4388">
          <cell r="C4388">
            <v>0</v>
          </cell>
          <cell r="N4388">
            <v>0</v>
          </cell>
          <cell r="O4388">
            <v>0</v>
          </cell>
          <cell r="AP4388">
            <v>0</v>
          </cell>
        </row>
        <row r="4389">
          <cell r="C4389">
            <v>0</v>
          </cell>
          <cell r="N4389">
            <v>0</v>
          </cell>
          <cell r="O4389">
            <v>0</v>
          </cell>
          <cell r="AP4389">
            <v>0</v>
          </cell>
        </row>
        <row r="4390">
          <cell r="C4390">
            <v>0</v>
          </cell>
          <cell r="N4390">
            <v>0</v>
          </cell>
          <cell r="O4390">
            <v>0</v>
          </cell>
          <cell r="AP4390">
            <v>0</v>
          </cell>
        </row>
        <row r="4391">
          <cell r="C4391">
            <v>0</v>
          </cell>
          <cell r="N4391">
            <v>0</v>
          </cell>
          <cell r="O4391">
            <v>0</v>
          </cell>
          <cell r="AP4391">
            <v>0</v>
          </cell>
        </row>
        <row r="4392">
          <cell r="C4392">
            <v>0</v>
          </cell>
          <cell r="N4392">
            <v>0</v>
          </cell>
          <cell r="O4392">
            <v>0</v>
          </cell>
          <cell r="AP4392">
            <v>0</v>
          </cell>
        </row>
        <row r="4393">
          <cell r="C4393">
            <v>0</v>
          </cell>
          <cell r="N4393">
            <v>0</v>
          </cell>
          <cell r="O4393">
            <v>0</v>
          </cell>
          <cell r="AP4393">
            <v>0</v>
          </cell>
        </row>
        <row r="4394">
          <cell r="C4394">
            <v>0</v>
          </cell>
          <cell r="N4394">
            <v>0</v>
          </cell>
          <cell r="O4394">
            <v>0</v>
          </cell>
          <cell r="AP4394">
            <v>0</v>
          </cell>
        </row>
        <row r="4395">
          <cell r="C4395">
            <v>0</v>
          </cell>
          <cell r="N4395">
            <v>0</v>
          </cell>
          <cell r="O4395">
            <v>0</v>
          </cell>
          <cell r="AP4395">
            <v>0</v>
          </cell>
        </row>
        <row r="4396">
          <cell r="C4396">
            <v>0</v>
          </cell>
          <cell r="N4396">
            <v>0</v>
          </cell>
          <cell r="O4396">
            <v>0</v>
          </cell>
          <cell r="AP4396">
            <v>0</v>
          </cell>
        </row>
        <row r="4397">
          <cell r="C4397">
            <v>0</v>
          </cell>
          <cell r="N4397">
            <v>0</v>
          </cell>
          <cell r="O4397">
            <v>0</v>
          </cell>
          <cell r="AP4397">
            <v>0</v>
          </cell>
        </row>
        <row r="4398">
          <cell r="C4398">
            <v>0</v>
          </cell>
          <cell r="N4398">
            <v>0</v>
          </cell>
          <cell r="O4398">
            <v>0</v>
          </cell>
          <cell r="AP4398">
            <v>0</v>
          </cell>
        </row>
        <row r="4399">
          <cell r="C4399">
            <v>0</v>
          </cell>
          <cell r="N4399">
            <v>0</v>
          </cell>
          <cell r="O4399">
            <v>0</v>
          </cell>
          <cell r="AP4399">
            <v>0</v>
          </cell>
        </row>
        <row r="4400">
          <cell r="C4400">
            <v>0</v>
          </cell>
          <cell r="N4400">
            <v>0</v>
          </cell>
          <cell r="O4400">
            <v>0</v>
          </cell>
          <cell r="AP4400">
            <v>0</v>
          </cell>
        </row>
        <row r="4401">
          <cell r="C4401">
            <v>0</v>
          </cell>
          <cell r="N4401">
            <v>0</v>
          </cell>
          <cell r="O4401">
            <v>0</v>
          </cell>
          <cell r="AP4401">
            <v>0</v>
          </cell>
        </row>
        <row r="4402">
          <cell r="C4402">
            <v>0</v>
          </cell>
          <cell r="N4402">
            <v>0</v>
          </cell>
          <cell r="O4402">
            <v>0</v>
          </cell>
          <cell r="AP4402">
            <v>0</v>
          </cell>
        </row>
        <row r="4403">
          <cell r="C4403">
            <v>0</v>
          </cell>
          <cell r="N4403">
            <v>0</v>
          </cell>
          <cell r="O4403">
            <v>0</v>
          </cell>
          <cell r="AP4403">
            <v>0</v>
          </cell>
        </row>
        <row r="4404">
          <cell r="C4404">
            <v>0</v>
          </cell>
          <cell r="N4404">
            <v>0</v>
          </cell>
          <cell r="O4404">
            <v>0</v>
          </cell>
          <cell r="AP4404">
            <v>0</v>
          </cell>
        </row>
        <row r="4405">
          <cell r="C4405">
            <v>0</v>
          </cell>
          <cell r="N4405">
            <v>0</v>
          </cell>
          <cell r="O4405">
            <v>0</v>
          </cell>
          <cell r="AP4405">
            <v>0</v>
          </cell>
        </row>
        <row r="4406">
          <cell r="C4406">
            <v>0</v>
          </cell>
          <cell r="N4406">
            <v>0</v>
          </cell>
          <cell r="O4406">
            <v>0</v>
          </cell>
          <cell r="AP4406">
            <v>0</v>
          </cell>
        </row>
        <row r="4407">
          <cell r="C4407">
            <v>0</v>
          </cell>
          <cell r="N4407">
            <v>0</v>
          </cell>
          <cell r="O4407">
            <v>0</v>
          </cell>
          <cell r="AP4407">
            <v>0</v>
          </cell>
        </row>
        <row r="4408">
          <cell r="C4408">
            <v>0</v>
          </cell>
          <cell r="N4408">
            <v>0</v>
          </cell>
          <cell r="O4408">
            <v>0</v>
          </cell>
          <cell r="AP4408">
            <v>0</v>
          </cell>
        </row>
        <row r="4409">
          <cell r="C4409">
            <v>0</v>
          </cell>
          <cell r="N4409">
            <v>0</v>
          </cell>
          <cell r="O4409">
            <v>0</v>
          </cell>
          <cell r="AP4409">
            <v>0</v>
          </cell>
        </row>
        <row r="4410">
          <cell r="C4410">
            <v>0</v>
          </cell>
          <cell r="N4410">
            <v>0</v>
          </cell>
          <cell r="O4410">
            <v>0</v>
          </cell>
          <cell r="AP4410">
            <v>0</v>
          </cell>
        </row>
        <row r="4411">
          <cell r="C4411">
            <v>0</v>
          </cell>
          <cell r="N4411">
            <v>0</v>
          </cell>
          <cell r="O4411">
            <v>0</v>
          </cell>
          <cell r="AP4411">
            <v>0</v>
          </cell>
        </row>
        <row r="4412">
          <cell r="C4412">
            <v>0</v>
          </cell>
          <cell r="N4412">
            <v>0</v>
          </cell>
          <cell r="O4412">
            <v>0</v>
          </cell>
          <cell r="AP4412">
            <v>0</v>
          </cell>
        </row>
        <row r="4413">
          <cell r="C4413">
            <v>0</v>
          </cell>
          <cell r="N4413">
            <v>0</v>
          </cell>
          <cell r="O4413">
            <v>0</v>
          </cell>
          <cell r="AP4413">
            <v>0</v>
          </cell>
        </row>
        <row r="4414">
          <cell r="C4414">
            <v>0</v>
          </cell>
          <cell r="N4414">
            <v>0</v>
          </cell>
          <cell r="O4414">
            <v>0</v>
          </cell>
          <cell r="AP4414">
            <v>0</v>
          </cell>
        </row>
        <row r="4415">
          <cell r="C4415">
            <v>0</v>
          </cell>
          <cell r="N4415">
            <v>0</v>
          </cell>
          <cell r="O4415">
            <v>0</v>
          </cell>
          <cell r="AP4415">
            <v>0</v>
          </cell>
        </row>
        <row r="4416">
          <cell r="C4416">
            <v>0</v>
          </cell>
          <cell r="N4416">
            <v>0</v>
          </cell>
          <cell r="O4416">
            <v>0</v>
          </cell>
          <cell r="AP4416">
            <v>0</v>
          </cell>
        </row>
        <row r="4417">
          <cell r="C4417">
            <v>0</v>
          </cell>
          <cell r="N4417">
            <v>0</v>
          </cell>
          <cell r="O4417">
            <v>0</v>
          </cell>
          <cell r="AP4417">
            <v>0</v>
          </cell>
        </row>
        <row r="4418">
          <cell r="C4418">
            <v>0</v>
          </cell>
          <cell r="N4418">
            <v>0</v>
          </cell>
          <cell r="O4418">
            <v>0</v>
          </cell>
          <cell r="AP4418">
            <v>0</v>
          </cell>
        </row>
        <row r="4419">
          <cell r="C4419">
            <v>0</v>
          </cell>
          <cell r="N4419">
            <v>0</v>
          </cell>
          <cell r="O4419">
            <v>0</v>
          </cell>
          <cell r="AP4419">
            <v>0</v>
          </cell>
        </row>
        <row r="4420">
          <cell r="C4420">
            <v>0</v>
          </cell>
          <cell r="N4420">
            <v>0</v>
          </cell>
          <cell r="O4420">
            <v>0</v>
          </cell>
          <cell r="AP4420">
            <v>0</v>
          </cell>
        </row>
        <row r="4421">
          <cell r="C4421">
            <v>0</v>
          </cell>
          <cell r="N4421">
            <v>0</v>
          </cell>
          <cell r="O4421">
            <v>0</v>
          </cell>
          <cell r="AP4421">
            <v>0</v>
          </cell>
        </row>
        <row r="4422">
          <cell r="C4422">
            <v>0</v>
          </cell>
          <cell r="N4422">
            <v>0</v>
          </cell>
          <cell r="O4422">
            <v>0</v>
          </cell>
          <cell r="AP4422">
            <v>0</v>
          </cell>
        </row>
        <row r="4423">
          <cell r="C4423">
            <v>0</v>
          </cell>
          <cell r="N4423">
            <v>0</v>
          </cell>
          <cell r="O4423">
            <v>0</v>
          </cell>
          <cell r="AP4423">
            <v>0</v>
          </cell>
        </row>
        <row r="4424">
          <cell r="C4424">
            <v>0</v>
          </cell>
          <cell r="N4424">
            <v>0</v>
          </cell>
          <cell r="O4424">
            <v>0</v>
          </cell>
          <cell r="AP4424">
            <v>0</v>
          </cell>
        </row>
        <row r="4425">
          <cell r="C4425">
            <v>0</v>
          </cell>
          <cell r="N4425">
            <v>0</v>
          </cell>
          <cell r="O4425">
            <v>0</v>
          </cell>
          <cell r="AP4425">
            <v>0</v>
          </cell>
        </row>
        <row r="4426">
          <cell r="C4426">
            <v>0</v>
          </cell>
          <cell r="N4426">
            <v>0</v>
          </cell>
          <cell r="O4426">
            <v>0</v>
          </cell>
          <cell r="AP4426">
            <v>0</v>
          </cell>
        </row>
        <row r="4427">
          <cell r="C4427">
            <v>0</v>
          </cell>
          <cell r="N4427">
            <v>0</v>
          </cell>
          <cell r="O4427">
            <v>0</v>
          </cell>
          <cell r="AP4427">
            <v>0</v>
          </cell>
        </row>
        <row r="4428">
          <cell r="C4428">
            <v>0</v>
          </cell>
          <cell r="N4428">
            <v>0</v>
          </cell>
          <cell r="O4428">
            <v>0</v>
          </cell>
          <cell r="AP4428">
            <v>0</v>
          </cell>
        </row>
        <row r="4429">
          <cell r="C4429">
            <v>0</v>
          </cell>
          <cell r="N4429">
            <v>0</v>
          </cell>
          <cell r="O4429">
            <v>0</v>
          </cell>
          <cell r="AP4429">
            <v>0</v>
          </cell>
        </row>
        <row r="4430">
          <cell r="C4430">
            <v>0</v>
          </cell>
          <cell r="N4430">
            <v>0</v>
          </cell>
          <cell r="O4430">
            <v>0</v>
          </cell>
          <cell r="AP4430">
            <v>0</v>
          </cell>
        </row>
        <row r="4431">
          <cell r="C4431">
            <v>0</v>
          </cell>
          <cell r="N4431">
            <v>0</v>
          </cell>
          <cell r="O4431">
            <v>0</v>
          </cell>
          <cell r="AP4431">
            <v>0</v>
          </cell>
        </row>
        <row r="4432">
          <cell r="C4432">
            <v>0</v>
          </cell>
          <cell r="N4432">
            <v>0</v>
          </cell>
          <cell r="O4432">
            <v>0</v>
          </cell>
          <cell r="AP4432">
            <v>0</v>
          </cell>
        </row>
        <row r="4433">
          <cell r="C4433">
            <v>0</v>
          </cell>
          <cell r="N4433">
            <v>0</v>
          </cell>
          <cell r="O4433">
            <v>0</v>
          </cell>
          <cell r="AP4433">
            <v>0</v>
          </cell>
        </row>
        <row r="4434">
          <cell r="C4434">
            <v>0</v>
          </cell>
          <cell r="N4434">
            <v>0</v>
          </cell>
          <cell r="O4434">
            <v>0</v>
          </cell>
          <cell r="AP4434">
            <v>0</v>
          </cell>
        </row>
        <row r="4435">
          <cell r="C4435">
            <v>0</v>
          </cell>
          <cell r="N4435">
            <v>0</v>
          </cell>
          <cell r="O4435">
            <v>0</v>
          </cell>
          <cell r="AP4435">
            <v>0</v>
          </cell>
        </row>
        <row r="4436">
          <cell r="C4436">
            <v>0</v>
          </cell>
          <cell r="N4436">
            <v>0</v>
          </cell>
          <cell r="O4436">
            <v>0</v>
          </cell>
          <cell r="AP4436">
            <v>0</v>
          </cell>
        </row>
        <row r="4437">
          <cell r="C4437">
            <v>0</v>
          </cell>
          <cell r="N4437">
            <v>0</v>
          </cell>
          <cell r="O4437">
            <v>0</v>
          </cell>
          <cell r="AP4437">
            <v>0</v>
          </cell>
        </row>
        <row r="4438">
          <cell r="C4438">
            <v>0</v>
          </cell>
          <cell r="N4438">
            <v>0</v>
          </cell>
          <cell r="O4438">
            <v>0</v>
          </cell>
          <cell r="AP4438">
            <v>0</v>
          </cell>
        </row>
        <row r="4439">
          <cell r="C4439">
            <v>0</v>
          </cell>
          <cell r="N4439">
            <v>0</v>
          </cell>
          <cell r="O4439">
            <v>0</v>
          </cell>
          <cell r="AP4439">
            <v>0</v>
          </cell>
        </row>
        <row r="4440">
          <cell r="C4440">
            <v>0</v>
          </cell>
          <cell r="N4440">
            <v>0</v>
          </cell>
          <cell r="O4440">
            <v>0</v>
          </cell>
          <cell r="AP4440">
            <v>0</v>
          </cell>
        </row>
        <row r="4441">
          <cell r="C4441">
            <v>0</v>
          </cell>
          <cell r="N4441">
            <v>0</v>
          </cell>
          <cell r="O4441">
            <v>0</v>
          </cell>
          <cell r="AP4441">
            <v>0</v>
          </cell>
        </row>
        <row r="4442">
          <cell r="C4442">
            <v>0</v>
          </cell>
          <cell r="N4442">
            <v>0</v>
          </cell>
          <cell r="O4442">
            <v>0</v>
          </cell>
          <cell r="AP4442">
            <v>0</v>
          </cell>
        </row>
        <row r="4443">
          <cell r="C4443">
            <v>0</v>
          </cell>
          <cell r="N4443">
            <v>0</v>
          </cell>
          <cell r="O4443">
            <v>0</v>
          </cell>
          <cell r="AP4443">
            <v>0</v>
          </cell>
        </row>
        <row r="4444">
          <cell r="C4444">
            <v>0</v>
          </cell>
          <cell r="N4444">
            <v>0</v>
          </cell>
          <cell r="O4444">
            <v>0</v>
          </cell>
          <cell r="AP4444">
            <v>0</v>
          </cell>
        </row>
        <row r="4445">
          <cell r="C4445">
            <v>0</v>
          </cell>
          <cell r="N4445">
            <v>0</v>
          </cell>
          <cell r="O4445">
            <v>0</v>
          </cell>
          <cell r="AP4445">
            <v>0</v>
          </cell>
        </row>
        <row r="4446">
          <cell r="C4446">
            <v>0</v>
          </cell>
          <cell r="N4446">
            <v>0</v>
          </cell>
          <cell r="O4446">
            <v>0</v>
          </cell>
          <cell r="AP4446">
            <v>0</v>
          </cell>
        </row>
        <row r="4447">
          <cell r="C4447">
            <v>0</v>
          </cell>
          <cell r="N4447">
            <v>0</v>
          </cell>
          <cell r="O4447">
            <v>0</v>
          </cell>
          <cell r="AP4447">
            <v>0</v>
          </cell>
        </row>
        <row r="4448">
          <cell r="C4448">
            <v>0</v>
          </cell>
          <cell r="N4448">
            <v>0</v>
          </cell>
          <cell r="O4448">
            <v>0</v>
          </cell>
          <cell r="AP4448">
            <v>0</v>
          </cell>
        </row>
        <row r="4449">
          <cell r="C4449">
            <v>0</v>
          </cell>
          <cell r="N4449">
            <v>0</v>
          </cell>
          <cell r="O4449">
            <v>0</v>
          </cell>
          <cell r="AP4449">
            <v>0</v>
          </cell>
        </row>
        <row r="4450">
          <cell r="C4450">
            <v>0</v>
          </cell>
          <cell r="N4450">
            <v>0</v>
          </cell>
          <cell r="O4450">
            <v>0</v>
          </cell>
          <cell r="AP4450">
            <v>0</v>
          </cell>
        </row>
        <row r="4451">
          <cell r="C4451">
            <v>0</v>
          </cell>
          <cell r="N4451">
            <v>0</v>
          </cell>
          <cell r="O4451">
            <v>0</v>
          </cell>
          <cell r="AP4451">
            <v>0</v>
          </cell>
        </row>
        <row r="4452">
          <cell r="C4452">
            <v>0</v>
          </cell>
          <cell r="N4452">
            <v>0</v>
          </cell>
          <cell r="O4452">
            <v>0</v>
          </cell>
          <cell r="AP4452">
            <v>0</v>
          </cell>
        </row>
        <row r="4453">
          <cell r="C4453">
            <v>0</v>
          </cell>
          <cell r="N4453">
            <v>0</v>
          </cell>
          <cell r="O4453">
            <v>0</v>
          </cell>
          <cell r="AP4453">
            <v>0</v>
          </cell>
        </row>
        <row r="4454">
          <cell r="C4454">
            <v>0</v>
          </cell>
          <cell r="N4454">
            <v>0</v>
          </cell>
          <cell r="O4454">
            <v>0</v>
          </cell>
          <cell r="AP4454">
            <v>0</v>
          </cell>
        </row>
        <row r="4455">
          <cell r="C4455">
            <v>0</v>
          </cell>
          <cell r="N4455">
            <v>0</v>
          </cell>
          <cell r="O4455">
            <v>0</v>
          </cell>
          <cell r="AP4455">
            <v>0</v>
          </cell>
        </row>
        <row r="4456">
          <cell r="C4456">
            <v>0</v>
          </cell>
          <cell r="N4456">
            <v>0</v>
          </cell>
          <cell r="O4456">
            <v>0</v>
          </cell>
          <cell r="AP4456">
            <v>0</v>
          </cell>
        </row>
        <row r="4457">
          <cell r="C4457">
            <v>0</v>
          </cell>
          <cell r="N4457">
            <v>0</v>
          </cell>
          <cell r="O4457">
            <v>0</v>
          </cell>
          <cell r="AP4457">
            <v>0</v>
          </cell>
        </row>
        <row r="4458">
          <cell r="C4458">
            <v>0</v>
          </cell>
          <cell r="N4458">
            <v>0</v>
          </cell>
          <cell r="O4458">
            <v>0</v>
          </cell>
          <cell r="AP4458">
            <v>0</v>
          </cell>
        </row>
        <row r="4459">
          <cell r="C4459">
            <v>0</v>
          </cell>
          <cell r="N4459">
            <v>0</v>
          </cell>
          <cell r="O4459">
            <v>0</v>
          </cell>
          <cell r="AP4459">
            <v>0</v>
          </cell>
        </row>
        <row r="4460">
          <cell r="C4460">
            <v>0</v>
          </cell>
          <cell r="N4460">
            <v>0</v>
          </cell>
          <cell r="O4460">
            <v>0</v>
          </cell>
          <cell r="AP4460">
            <v>0</v>
          </cell>
        </row>
        <row r="4461">
          <cell r="C4461">
            <v>0</v>
          </cell>
          <cell r="N4461">
            <v>0</v>
          </cell>
          <cell r="O4461">
            <v>0</v>
          </cell>
          <cell r="AP4461">
            <v>0</v>
          </cell>
        </row>
        <row r="4462">
          <cell r="C4462">
            <v>0</v>
          </cell>
          <cell r="N4462">
            <v>0</v>
          </cell>
          <cell r="O4462">
            <v>0</v>
          </cell>
          <cell r="AP4462">
            <v>0</v>
          </cell>
        </row>
        <row r="4463">
          <cell r="C4463">
            <v>0</v>
          </cell>
          <cell r="N4463">
            <v>0</v>
          </cell>
          <cell r="O4463">
            <v>0</v>
          </cell>
          <cell r="AP4463">
            <v>0</v>
          </cell>
        </row>
        <row r="4464">
          <cell r="C4464">
            <v>0</v>
          </cell>
          <cell r="N4464">
            <v>0</v>
          </cell>
          <cell r="O4464">
            <v>0</v>
          </cell>
          <cell r="AP4464">
            <v>0</v>
          </cell>
        </row>
        <row r="4465">
          <cell r="C4465">
            <v>0</v>
          </cell>
          <cell r="N4465">
            <v>0</v>
          </cell>
          <cell r="O4465">
            <v>0</v>
          </cell>
          <cell r="AP4465">
            <v>0</v>
          </cell>
        </row>
        <row r="4466">
          <cell r="C4466">
            <v>0</v>
          </cell>
          <cell r="N4466">
            <v>0</v>
          </cell>
          <cell r="O4466">
            <v>0</v>
          </cell>
          <cell r="AP4466">
            <v>0</v>
          </cell>
        </row>
        <row r="4467">
          <cell r="C4467">
            <v>0</v>
          </cell>
          <cell r="N4467">
            <v>0</v>
          </cell>
          <cell r="O4467">
            <v>0</v>
          </cell>
          <cell r="AP4467">
            <v>0</v>
          </cell>
        </row>
        <row r="4468">
          <cell r="C4468">
            <v>0</v>
          </cell>
          <cell r="N4468">
            <v>0</v>
          </cell>
          <cell r="O4468">
            <v>0</v>
          </cell>
          <cell r="AP4468">
            <v>0</v>
          </cell>
        </row>
        <row r="4469">
          <cell r="C4469">
            <v>0</v>
          </cell>
          <cell r="N4469">
            <v>0</v>
          </cell>
          <cell r="O4469">
            <v>0</v>
          </cell>
          <cell r="AP4469">
            <v>0</v>
          </cell>
        </row>
        <row r="4470">
          <cell r="C4470">
            <v>0</v>
          </cell>
          <cell r="N4470">
            <v>0</v>
          </cell>
          <cell r="O4470">
            <v>0</v>
          </cell>
          <cell r="AP4470">
            <v>0</v>
          </cell>
        </row>
        <row r="4471">
          <cell r="C4471">
            <v>0</v>
          </cell>
          <cell r="N4471">
            <v>0</v>
          </cell>
          <cell r="O4471">
            <v>0</v>
          </cell>
          <cell r="AP4471">
            <v>0</v>
          </cell>
        </row>
        <row r="4472">
          <cell r="C4472">
            <v>0</v>
          </cell>
          <cell r="N4472">
            <v>0</v>
          </cell>
          <cell r="O4472">
            <v>0</v>
          </cell>
          <cell r="AP4472">
            <v>0</v>
          </cell>
        </row>
        <row r="4473">
          <cell r="C4473">
            <v>0</v>
          </cell>
          <cell r="N4473">
            <v>0</v>
          </cell>
          <cell r="O4473">
            <v>0</v>
          </cell>
          <cell r="AP4473">
            <v>0</v>
          </cell>
        </row>
        <row r="4474">
          <cell r="C4474">
            <v>0</v>
          </cell>
          <cell r="N4474">
            <v>0</v>
          </cell>
          <cell r="O4474">
            <v>0</v>
          </cell>
          <cell r="AP4474">
            <v>0</v>
          </cell>
        </row>
        <row r="4475">
          <cell r="C4475">
            <v>0</v>
          </cell>
          <cell r="N4475">
            <v>0</v>
          </cell>
          <cell r="O4475">
            <v>0</v>
          </cell>
          <cell r="AP4475">
            <v>0</v>
          </cell>
        </row>
        <row r="4476">
          <cell r="C4476">
            <v>0</v>
          </cell>
          <cell r="N4476">
            <v>0</v>
          </cell>
          <cell r="O4476">
            <v>0</v>
          </cell>
          <cell r="AP4476">
            <v>0</v>
          </cell>
        </row>
        <row r="4477">
          <cell r="C4477">
            <v>0</v>
          </cell>
          <cell r="N4477">
            <v>0</v>
          </cell>
          <cell r="O4477">
            <v>0</v>
          </cell>
          <cell r="AP4477">
            <v>0</v>
          </cell>
        </row>
        <row r="4478">
          <cell r="C4478">
            <v>0</v>
          </cell>
          <cell r="N4478">
            <v>0</v>
          </cell>
          <cell r="O4478">
            <v>0</v>
          </cell>
          <cell r="AP4478">
            <v>0</v>
          </cell>
        </row>
        <row r="4479">
          <cell r="C4479">
            <v>0</v>
          </cell>
          <cell r="N4479">
            <v>0</v>
          </cell>
          <cell r="O4479">
            <v>0</v>
          </cell>
          <cell r="AP4479">
            <v>0</v>
          </cell>
        </row>
        <row r="4480">
          <cell r="C4480">
            <v>0</v>
          </cell>
          <cell r="N4480">
            <v>0</v>
          </cell>
          <cell r="O4480">
            <v>0</v>
          </cell>
          <cell r="AP4480">
            <v>0</v>
          </cell>
        </row>
        <row r="4481">
          <cell r="C4481">
            <v>0</v>
          </cell>
          <cell r="N4481">
            <v>0</v>
          </cell>
          <cell r="O4481">
            <v>0</v>
          </cell>
          <cell r="AP4481">
            <v>0</v>
          </cell>
        </row>
        <row r="4482">
          <cell r="C4482">
            <v>0</v>
          </cell>
          <cell r="N4482">
            <v>0</v>
          </cell>
          <cell r="O4482">
            <v>0</v>
          </cell>
          <cell r="AP4482">
            <v>0</v>
          </cell>
        </row>
        <row r="4483">
          <cell r="C4483">
            <v>0</v>
          </cell>
          <cell r="N4483">
            <v>0</v>
          </cell>
          <cell r="O4483">
            <v>0</v>
          </cell>
          <cell r="AP4483">
            <v>0</v>
          </cell>
        </row>
        <row r="4484">
          <cell r="C4484">
            <v>0</v>
          </cell>
          <cell r="N4484">
            <v>0</v>
          </cell>
          <cell r="O4484">
            <v>0</v>
          </cell>
          <cell r="AP4484">
            <v>0</v>
          </cell>
        </row>
        <row r="4485">
          <cell r="C4485">
            <v>0</v>
          </cell>
          <cell r="N4485">
            <v>0</v>
          </cell>
          <cell r="O4485">
            <v>0</v>
          </cell>
          <cell r="AP4485">
            <v>0</v>
          </cell>
        </row>
        <row r="4486">
          <cell r="C4486">
            <v>0</v>
          </cell>
          <cell r="N4486">
            <v>0</v>
          </cell>
          <cell r="O4486">
            <v>0</v>
          </cell>
          <cell r="AP4486">
            <v>0</v>
          </cell>
        </row>
        <row r="4487">
          <cell r="C4487">
            <v>0</v>
          </cell>
          <cell r="N4487">
            <v>0</v>
          </cell>
          <cell r="O4487">
            <v>0</v>
          </cell>
          <cell r="AP4487">
            <v>0</v>
          </cell>
        </row>
        <row r="4488">
          <cell r="C4488">
            <v>0</v>
          </cell>
          <cell r="N4488">
            <v>0</v>
          </cell>
          <cell r="O4488">
            <v>0</v>
          </cell>
          <cell r="AP4488">
            <v>0</v>
          </cell>
        </row>
        <row r="4489">
          <cell r="C4489">
            <v>0</v>
          </cell>
          <cell r="N4489">
            <v>0</v>
          </cell>
          <cell r="O4489">
            <v>0</v>
          </cell>
          <cell r="AP4489">
            <v>0</v>
          </cell>
        </row>
        <row r="4490">
          <cell r="C4490">
            <v>0</v>
          </cell>
          <cell r="N4490">
            <v>0</v>
          </cell>
          <cell r="O4490">
            <v>0</v>
          </cell>
          <cell r="AP4490">
            <v>0</v>
          </cell>
        </row>
        <row r="4491">
          <cell r="C4491">
            <v>0</v>
          </cell>
          <cell r="N4491">
            <v>0</v>
          </cell>
          <cell r="O4491">
            <v>0</v>
          </cell>
          <cell r="AP4491">
            <v>0</v>
          </cell>
        </row>
        <row r="4492">
          <cell r="C4492">
            <v>0</v>
          </cell>
          <cell r="N4492">
            <v>0</v>
          </cell>
          <cell r="O4492">
            <v>0</v>
          </cell>
          <cell r="AP4492">
            <v>0</v>
          </cell>
        </row>
        <row r="4493">
          <cell r="C4493">
            <v>0</v>
          </cell>
          <cell r="N4493">
            <v>0</v>
          </cell>
          <cell r="O4493">
            <v>0</v>
          </cell>
          <cell r="AP4493">
            <v>0</v>
          </cell>
        </row>
        <row r="4494">
          <cell r="C4494">
            <v>0</v>
          </cell>
          <cell r="N4494">
            <v>0</v>
          </cell>
          <cell r="O4494">
            <v>0</v>
          </cell>
          <cell r="AP4494">
            <v>0</v>
          </cell>
        </row>
        <row r="4495">
          <cell r="C4495">
            <v>0</v>
          </cell>
          <cell r="N4495">
            <v>0</v>
          </cell>
          <cell r="O4495">
            <v>0</v>
          </cell>
          <cell r="AP4495">
            <v>0</v>
          </cell>
        </row>
        <row r="4496">
          <cell r="C4496">
            <v>0</v>
          </cell>
          <cell r="N4496">
            <v>0</v>
          </cell>
          <cell r="O4496">
            <v>0</v>
          </cell>
          <cell r="AP4496">
            <v>0</v>
          </cell>
        </row>
        <row r="4497">
          <cell r="C4497">
            <v>0</v>
          </cell>
          <cell r="N4497">
            <v>0</v>
          </cell>
          <cell r="O4497">
            <v>0</v>
          </cell>
          <cell r="AP4497">
            <v>0</v>
          </cell>
        </row>
        <row r="4498">
          <cell r="C4498">
            <v>0</v>
          </cell>
          <cell r="N4498">
            <v>0</v>
          </cell>
          <cell r="O4498">
            <v>0</v>
          </cell>
          <cell r="AP4498">
            <v>0</v>
          </cell>
        </row>
        <row r="4499">
          <cell r="C4499">
            <v>0</v>
          </cell>
          <cell r="N4499">
            <v>0</v>
          </cell>
          <cell r="O4499">
            <v>0</v>
          </cell>
          <cell r="AP4499">
            <v>0</v>
          </cell>
        </row>
        <row r="4500">
          <cell r="C4500">
            <v>0</v>
          </cell>
          <cell r="N4500">
            <v>0</v>
          </cell>
          <cell r="O4500">
            <v>0</v>
          </cell>
          <cell r="AP4500">
            <v>0</v>
          </cell>
        </row>
        <row r="4501">
          <cell r="C4501">
            <v>0</v>
          </cell>
          <cell r="N4501">
            <v>0</v>
          </cell>
          <cell r="O4501">
            <v>0</v>
          </cell>
          <cell r="AP4501">
            <v>0</v>
          </cell>
        </row>
        <row r="4502">
          <cell r="C4502">
            <v>0</v>
          </cell>
          <cell r="N4502">
            <v>0</v>
          </cell>
          <cell r="O4502">
            <v>0</v>
          </cell>
          <cell r="AP4502">
            <v>0</v>
          </cell>
        </row>
        <row r="4503">
          <cell r="C4503">
            <v>0</v>
          </cell>
          <cell r="N4503">
            <v>0</v>
          </cell>
          <cell r="O4503">
            <v>0</v>
          </cell>
          <cell r="AP4503">
            <v>0</v>
          </cell>
        </row>
        <row r="4504">
          <cell r="C4504">
            <v>0</v>
          </cell>
          <cell r="N4504">
            <v>0</v>
          </cell>
          <cell r="O4504">
            <v>0</v>
          </cell>
          <cell r="AP4504">
            <v>0</v>
          </cell>
        </row>
        <row r="4505">
          <cell r="C4505">
            <v>0</v>
          </cell>
          <cell r="N4505">
            <v>0</v>
          </cell>
          <cell r="O4505">
            <v>0</v>
          </cell>
          <cell r="AP4505">
            <v>0</v>
          </cell>
        </row>
        <row r="4506">
          <cell r="C4506">
            <v>0</v>
          </cell>
          <cell r="N4506">
            <v>0</v>
          </cell>
          <cell r="O4506">
            <v>0</v>
          </cell>
          <cell r="AP4506">
            <v>0</v>
          </cell>
        </row>
        <row r="4507">
          <cell r="C4507">
            <v>0</v>
          </cell>
          <cell r="N4507">
            <v>0</v>
          </cell>
          <cell r="O4507">
            <v>0</v>
          </cell>
          <cell r="AP4507">
            <v>0</v>
          </cell>
        </row>
        <row r="4508">
          <cell r="C4508">
            <v>0</v>
          </cell>
          <cell r="N4508">
            <v>0</v>
          </cell>
          <cell r="O4508">
            <v>0</v>
          </cell>
          <cell r="AP4508">
            <v>0</v>
          </cell>
        </row>
        <row r="4509">
          <cell r="C4509">
            <v>0</v>
          </cell>
          <cell r="N4509">
            <v>0</v>
          </cell>
          <cell r="O4509">
            <v>0</v>
          </cell>
          <cell r="AP4509">
            <v>0</v>
          </cell>
        </row>
        <row r="4510">
          <cell r="C4510">
            <v>0</v>
          </cell>
          <cell r="N4510">
            <v>0</v>
          </cell>
          <cell r="O4510">
            <v>0</v>
          </cell>
          <cell r="AP4510">
            <v>0</v>
          </cell>
        </row>
        <row r="4511">
          <cell r="C4511">
            <v>0</v>
          </cell>
          <cell r="N4511">
            <v>0</v>
          </cell>
          <cell r="O4511">
            <v>0</v>
          </cell>
          <cell r="AP4511">
            <v>0</v>
          </cell>
        </row>
        <row r="4512">
          <cell r="C4512">
            <v>0</v>
          </cell>
          <cell r="N4512">
            <v>0</v>
          </cell>
          <cell r="O4512">
            <v>0</v>
          </cell>
          <cell r="AP4512">
            <v>0</v>
          </cell>
        </row>
        <row r="4513">
          <cell r="C4513">
            <v>0</v>
          </cell>
          <cell r="N4513">
            <v>0</v>
          </cell>
          <cell r="O4513">
            <v>0</v>
          </cell>
          <cell r="AP4513">
            <v>0</v>
          </cell>
        </row>
        <row r="4514">
          <cell r="C4514">
            <v>0</v>
          </cell>
          <cell r="N4514">
            <v>0</v>
          </cell>
          <cell r="O4514">
            <v>0</v>
          </cell>
          <cell r="AP4514">
            <v>0</v>
          </cell>
        </row>
        <row r="4515">
          <cell r="C4515">
            <v>0</v>
          </cell>
          <cell r="N4515">
            <v>0</v>
          </cell>
          <cell r="O4515">
            <v>0</v>
          </cell>
          <cell r="AP4515">
            <v>0</v>
          </cell>
        </row>
        <row r="4516">
          <cell r="C4516">
            <v>0</v>
          </cell>
          <cell r="N4516">
            <v>0</v>
          </cell>
          <cell r="O4516">
            <v>0</v>
          </cell>
          <cell r="AP4516">
            <v>0</v>
          </cell>
        </row>
        <row r="4517">
          <cell r="C4517">
            <v>0</v>
          </cell>
          <cell r="N4517">
            <v>0</v>
          </cell>
          <cell r="O4517">
            <v>0</v>
          </cell>
          <cell r="AP4517">
            <v>0</v>
          </cell>
        </row>
        <row r="4518">
          <cell r="C4518">
            <v>0</v>
          </cell>
          <cell r="N4518">
            <v>0</v>
          </cell>
          <cell r="O4518">
            <v>0</v>
          </cell>
          <cell r="AP4518">
            <v>0</v>
          </cell>
        </row>
        <row r="4519">
          <cell r="C4519">
            <v>0</v>
          </cell>
          <cell r="N4519">
            <v>0</v>
          </cell>
          <cell r="O4519">
            <v>0</v>
          </cell>
          <cell r="AP4519">
            <v>0</v>
          </cell>
        </row>
        <row r="4520">
          <cell r="C4520">
            <v>0</v>
          </cell>
          <cell r="N4520">
            <v>0</v>
          </cell>
          <cell r="O4520">
            <v>0</v>
          </cell>
          <cell r="AP4520">
            <v>0</v>
          </cell>
        </row>
        <row r="4521">
          <cell r="C4521">
            <v>0</v>
          </cell>
          <cell r="N4521">
            <v>0</v>
          </cell>
          <cell r="O4521">
            <v>0</v>
          </cell>
          <cell r="AP4521">
            <v>0</v>
          </cell>
        </row>
        <row r="4522">
          <cell r="C4522">
            <v>0</v>
          </cell>
          <cell r="N4522">
            <v>0</v>
          </cell>
          <cell r="O4522">
            <v>0</v>
          </cell>
          <cell r="AP4522">
            <v>0</v>
          </cell>
        </row>
        <row r="4523">
          <cell r="C4523">
            <v>0</v>
          </cell>
          <cell r="N4523">
            <v>0</v>
          </cell>
          <cell r="O4523">
            <v>0</v>
          </cell>
          <cell r="AP4523">
            <v>0</v>
          </cell>
        </row>
        <row r="4524">
          <cell r="C4524">
            <v>0</v>
          </cell>
          <cell r="N4524">
            <v>0</v>
          </cell>
          <cell r="O4524">
            <v>0</v>
          </cell>
          <cell r="AP4524">
            <v>0</v>
          </cell>
        </row>
        <row r="4525">
          <cell r="C4525">
            <v>0</v>
          </cell>
          <cell r="N4525">
            <v>0</v>
          </cell>
          <cell r="O4525">
            <v>0</v>
          </cell>
          <cell r="AP4525">
            <v>0</v>
          </cell>
        </row>
        <row r="4526">
          <cell r="C4526">
            <v>0</v>
          </cell>
          <cell r="N4526">
            <v>0</v>
          </cell>
          <cell r="O4526">
            <v>0</v>
          </cell>
          <cell r="AP4526">
            <v>0</v>
          </cell>
        </row>
        <row r="4527">
          <cell r="C4527">
            <v>0</v>
          </cell>
          <cell r="N4527">
            <v>0</v>
          </cell>
          <cell r="O4527">
            <v>0</v>
          </cell>
          <cell r="AP4527">
            <v>0</v>
          </cell>
        </row>
        <row r="4528">
          <cell r="C4528">
            <v>0</v>
          </cell>
          <cell r="N4528">
            <v>0</v>
          </cell>
          <cell r="O4528">
            <v>0</v>
          </cell>
          <cell r="AP4528">
            <v>0</v>
          </cell>
        </row>
        <row r="4529">
          <cell r="C4529">
            <v>0</v>
          </cell>
          <cell r="N4529">
            <v>0</v>
          </cell>
          <cell r="O4529">
            <v>0</v>
          </cell>
          <cell r="AP4529">
            <v>0</v>
          </cell>
        </row>
        <row r="4530">
          <cell r="C4530">
            <v>0</v>
          </cell>
          <cell r="N4530">
            <v>0</v>
          </cell>
          <cell r="O4530">
            <v>0</v>
          </cell>
          <cell r="AP4530">
            <v>0</v>
          </cell>
        </row>
        <row r="4531">
          <cell r="C4531">
            <v>0</v>
          </cell>
          <cell r="N4531">
            <v>0</v>
          </cell>
          <cell r="O4531">
            <v>0</v>
          </cell>
          <cell r="AP4531">
            <v>0</v>
          </cell>
        </row>
        <row r="4532">
          <cell r="C4532">
            <v>0</v>
          </cell>
          <cell r="N4532">
            <v>0</v>
          </cell>
          <cell r="O4532">
            <v>0</v>
          </cell>
          <cell r="AP4532">
            <v>0</v>
          </cell>
        </row>
        <row r="4533">
          <cell r="C4533">
            <v>0</v>
          </cell>
          <cell r="N4533">
            <v>0</v>
          </cell>
          <cell r="O4533">
            <v>0</v>
          </cell>
          <cell r="AP4533">
            <v>0</v>
          </cell>
        </row>
        <row r="4534">
          <cell r="C4534">
            <v>0</v>
          </cell>
          <cell r="N4534">
            <v>0</v>
          </cell>
          <cell r="O4534">
            <v>0</v>
          </cell>
          <cell r="AP4534">
            <v>0</v>
          </cell>
        </row>
        <row r="4535">
          <cell r="C4535">
            <v>0</v>
          </cell>
          <cell r="N4535">
            <v>0</v>
          </cell>
          <cell r="O4535">
            <v>0</v>
          </cell>
          <cell r="AP4535">
            <v>0</v>
          </cell>
        </row>
        <row r="4536">
          <cell r="C4536">
            <v>0</v>
          </cell>
          <cell r="N4536">
            <v>0</v>
          </cell>
          <cell r="O4536">
            <v>0</v>
          </cell>
          <cell r="AP4536">
            <v>0</v>
          </cell>
        </row>
        <row r="4537">
          <cell r="C4537">
            <v>0</v>
          </cell>
          <cell r="N4537">
            <v>0</v>
          </cell>
          <cell r="O4537">
            <v>0</v>
          </cell>
          <cell r="AP4537">
            <v>0</v>
          </cell>
        </row>
        <row r="4538">
          <cell r="C4538">
            <v>0</v>
          </cell>
          <cell r="N4538">
            <v>0</v>
          </cell>
          <cell r="O4538">
            <v>0</v>
          </cell>
          <cell r="AP4538">
            <v>0</v>
          </cell>
        </row>
        <row r="4539">
          <cell r="C4539">
            <v>0</v>
          </cell>
          <cell r="N4539">
            <v>0</v>
          </cell>
          <cell r="O4539">
            <v>0</v>
          </cell>
          <cell r="AP4539">
            <v>0</v>
          </cell>
        </row>
        <row r="4540">
          <cell r="C4540">
            <v>0</v>
          </cell>
          <cell r="N4540">
            <v>0</v>
          </cell>
          <cell r="O4540">
            <v>0</v>
          </cell>
          <cell r="AP4540">
            <v>0</v>
          </cell>
        </row>
        <row r="4541">
          <cell r="C4541">
            <v>0</v>
          </cell>
          <cell r="N4541">
            <v>0</v>
          </cell>
          <cell r="O4541">
            <v>0</v>
          </cell>
          <cell r="AP4541">
            <v>0</v>
          </cell>
        </row>
        <row r="4542">
          <cell r="C4542">
            <v>0</v>
          </cell>
          <cell r="N4542">
            <v>0</v>
          </cell>
          <cell r="O4542">
            <v>0</v>
          </cell>
          <cell r="AP4542">
            <v>0</v>
          </cell>
        </row>
        <row r="4543">
          <cell r="C4543">
            <v>0</v>
          </cell>
          <cell r="N4543">
            <v>0</v>
          </cell>
          <cell r="O4543">
            <v>0</v>
          </cell>
          <cell r="AP4543">
            <v>0</v>
          </cell>
        </row>
        <row r="4544">
          <cell r="C4544">
            <v>0</v>
          </cell>
          <cell r="N4544">
            <v>0</v>
          </cell>
          <cell r="O4544">
            <v>0</v>
          </cell>
          <cell r="AP4544">
            <v>0</v>
          </cell>
        </row>
        <row r="4545">
          <cell r="C4545">
            <v>0</v>
          </cell>
          <cell r="N4545">
            <v>0</v>
          </cell>
          <cell r="O4545">
            <v>0</v>
          </cell>
          <cell r="AP4545">
            <v>0</v>
          </cell>
        </row>
        <row r="4546">
          <cell r="C4546">
            <v>0</v>
          </cell>
          <cell r="N4546">
            <v>0</v>
          </cell>
          <cell r="O4546">
            <v>0</v>
          </cell>
          <cell r="AP4546">
            <v>0</v>
          </cell>
        </row>
        <row r="4547">
          <cell r="C4547">
            <v>0</v>
          </cell>
          <cell r="N4547">
            <v>0</v>
          </cell>
          <cell r="O4547">
            <v>0</v>
          </cell>
          <cell r="AP4547">
            <v>0</v>
          </cell>
        </row>
        <row r="4548">
          <cell r="C4548">
            <v>0</v>
          </cell>
          <cell r="N4548">
            <v>0</v>
          </cell>
          <cell r="O4548">
            <v>0</v>
          </cell>
          <cell r="AP4548">
            <v>0</v>
          </cell>
        </row>
        <row r="4549">
          <cell r="C4549">
            <v>0</v>
          </cell>
          <cell r="N4549">
            <v>0</v>
          </cell>
          <cell r="O4549">
            <v>0</v>
          </cell>
          <cell r="AP4549">
            <v>0</v>
          </cell>
        </row>
        <row r="4550">
          <cell r="C4550">
            <v>0</v>
          </cell>
          <cell r="N4550">
            <v>0</v>
          </cell>
          <cell r="O4550">
            <v>0</v>
          </cell>
          <cell r="AP4550">
            <v>0</v>
          </cell>
        </row>
        <row r="4551">
          <cell r="C4551">
            <v>0</v>
          </cell>
          <cell r="N4551">
            <v>0</v>
          </cell>
          <cell r="O4551">
            <v>0</v>
          </cell>
          <cell r="AP4551">
            <v>0</v>
          </cell>
        </row>
        <row r="4552">
          <cell r="C4552">
            <v>0</v>
          </cell>
          <cell r="N4552">
            <v>0</v>
          </cell>
          <cell r="O4552">
            <v>0</v>
          </cell>
          <cell r="AP4552">
            <v>0</v>
          </cell>
        </row>
        <row r="4553">
          <cell r="C4553">
            <v>0</v>
          </cell>
          <cell r="N4553">
            <v>0</v>
          </cell>
          <cell r="O4553">
            <v>0</v>
          </cell>
          <cell r="AP4553">
            <v>0</v>
          </cell>
        </row>
        <row r="4554">
          <cell r="C4554">
            <v>0</v>
          </cell>
          <cell r="N4554">
            <v>0</v>
          </cell>
          <cell r="O4554">
            <v>0</v>
          </cell>
          <cell r="AP4554">
            <v>0</v>
          </cell>
        </row>
        <row r="4555">
          <cell r="C4555">
            <v>0</v>
          </cell>
          <cell r="N4555">
            <v>0</v>
          </cell>
          <cell r="O4555">
            <v>0</v>
          </cell>
          <cell r="AP4555">
            <v>0</v>
          </cell>
        </row>
        <row r="4556">
          <cell r="C4556">
            <v>0</v>
          </cell>
          <cell r="N4556">
            <v>0</v>
          </cell>
          <cell r="O4556">
            <v>0</v>
          </cell>
          <cell r="AP4556">
            <v>0</v>
          </cell>
        </row>
        <row r="4557">
          <cell r="C4557">
            <v>0</v>
          </cell>
          <cell r="N4557">
            <v>0</v>
          </cell>
          <cell r="O4557">
            <v>0</v>
          </cell>
          <cell r="AP4557">
            <v>0</v>
          </cell>
        </row>
        <row r="4558">
          <cell r="C4558">
            <v>0</v>
          </cell>
          <cell r="N4558">
            <v>0</v>
          </cell>
          <cell r="O4558">
            <v>0</v>
          </cell>
          <cell r="AP4558">
            <v>0</v>
          </cell>
        </row>
        <row r="4559">
          <cell r="C4559">
            <v>0</v>
          </cell>
          <cell r="N4559">
            <v>0</v>
          </cell>
          <cell r="O4559">
            <v>0</v>
          </cell>
          <cell r="AP4559">
            <v>0</v>
          </cell>
        </row>
        <row r="4560">
          <cell r="C4560">
            <v>0</v>
          </cell>
          <cell r="N4560">
            <v>0</v>
          </cell>
          <cell r="O4560">
            <v>0</v>
          </cell>
          <cell r="AP4560">
            <v>0</v>
          </cell>
        </row>
        <row r="4561">
          <cell r="C4561">
            <v>0</v>
          </cell>
          <cell r="N4561">
            <v>0</v>
          </cell>
          <cell r="O4561">
            <v>0</v>
          </cell>
          <cell r="AP4561">
            <v>0</v>
          </cell>
        </row>
        <row r="4562">
          <cell r="C4562">
            <v>0</v>
          </cell>
          <cell r="N4562">
            <v>0</v>
          </cell>
          <cell r="O4562">
            <v>0</v>
          </cell>
          <cell r="AP4562">
            <v>0</v>
          </cell>
        </row>
        <row r="4563">
          <cell r="C4563">
            <v>0</v>
          </cell>
          <cell r="N4563">
            <v>0</v>
          </cell>
          <cell r="O4563">
            <v>0</v>
          </cell>
          <cell r="AP4563">
            <v>0</v>
          </cell>
        </row>
        <row r="4564">
          <cell r="C4564">
            <v>0</v>
          </cell>
          <cell r="N4564">
            <v>0</v>
          </cell>
          <cell r="O4564">
            <v>0</v>
          </cell>
          <cell r="AP4564">
            <v>0</v>
          </cell>
        </row>
        <row r="4565">
          <cell r="C4565">
            <v>0</v>
          </cell>
          <cell r="N4565">
            <v>0</v>
          </cell>
          <cell r="O4565">
            <v>0</v>
          </cell>
          <cell r="AP4565">
            <v>0</v>
          </cell>
        </row>
        <row r="4566">
          <cell r="C4566">
            <v>0</v>
          </cell>
          <cell r="N4566">
            <v>0</v>
          </cell>
          <cell r="O4566">
            <v>0</v>
          </cell>
          <cell r="AP4566">
            <v>0</v>
          </cell>
        </row>
        <row r="4567">
          <cell r="C4567">
            <v>0</v>
          </cell>
          <cell r="N4567">
            <v>0</v>
          </cell>
          <cell r="O4567">
            <v>0</v>
          </cell>
          <cell r="AP4567">
            <v>0</v>
          </cell>
        </row>
        <row r="4568">
          <cell r="C4568">
            <v>0</v>
          </cell>
          <cell r="N4568">
            <v>0</v>
          </cell>
          <cell r="O4568">
            <v>0</v>
          </cell>
          <cell r="AP4568">
            <v>0</v>
          </cell>
        </row>
        <row r="4569">
          <cell r="C4569">
            <v>0</v>
          </cell>
          <cell r="N4569">
            <v>0</v>
          </cell>
          <cell r="O4569">
            <v>0</v>
          </cell>
          <cell r="AP4569">
            <v>0</v>
          </cell>
        </row>
        <row r="4570">
          <cell r="C4570">
            <v>0</v>
          </cell>
          <cell r="N4570">
            <v>0</v>
          </cell>
          <cell r="O4570">
            <v>0</v>
          </cell>
          <cell r="AP4570">
            <v>0</v>
          </cell>
        </row>
        <row r="4571">
          <cell r="C4571">
            <v>0</v>
          </cell>
          <cell r="N4571">
            <v>0</v>
          </cell>
          <cell r="O4571">
            <v>0</v>
          </cell>
          <cell r="AP4571">
            <v>0</v>
          </cell>
        </row>
        <row r="4572">
          <cell r="C4572">
            <v>0</v>
          </cell>
          <cell r="N4572">
            <v>0</v>
          </cell>
          <cell r="O4572">
            <v>0</v>
          </cell>
          <cell r="AP4572">
            <v>0</v>
          </cell>
        </row>
        <row r="4573">
          <cell r="C4573">
            <v>0</v>
          </cell>
          <cell r="N4573">
            <v>0</v>
          </cell>
          <cell r="O4573">
            <v>0</v>
          </cell>
          <cell r="AP4573">
            <v>0</v>
          </cell>
        </row>
        <row r="4574">
          <cell r="C4574">
            <v>0</v>
          </cell>
          <cell r="N4574">
            <v>0</v>
          </cell>
          <cell r="O4574">
            <v>0</v>
          </cell>
          <cell r="AP4574">
            <v>0</v>
          </cell>
        </row>
        <row r="4575">
          <cell r="C4575">
            <v>0</v>
          </cell>
          <cell r="N4575">
            <v>0</v>
          </cell>
          <cell r="O4575">
            <v>0</v>
          </cell>
          <cell r="AP4575">
            <v>0</v>
          </cell>
        </row>
        <row r="4576">
          <cell r="C4576">
            <v>0</v>
          </cell>
          <cell r="N4576">
            <v>0</v>
          </cell>
          <cell r="O4576">
            <v>0</v>
          </cell>
          <cell r="AP4576">
            <v>0</v>
          </cell>
        </row>
        <row r="4577">
          <cell r="C4577">
            <v>0</v>
          </cell>
          <cell r="N4577">
            <v>0</v>
          </cell>
          <cell r="O4577">
            <v>0</v>
          </cell>
          <cell r="AP4577">
            <v>0</v>
          </cell>
        </row>
        <row r="4578">
          <cell r="C4578">
            <v>0</v>
          </cell>
          <cell r="N4578">
            <v>0</v>
          </cell>
          <cell r="O4578">
            <v>0</v>
          </cell>
          <cell r="AP4578">
            <v>0</v>
          </cell>
        </row>
        <row r="4579">
          <cell r="C4579">
            <v>0</v>
          </cell>
          <cell r="N4579">
            <v>0</v>
          </cell>
          <cell r="O4579">
            <v>0</v>
          </cell>
          <cell r="AP4579">
            <v>0</v>
          </cell>
        </row>
        <row r="4580">
          <cell r="C4580">
            <v>0</v>
          </cell>
          <cell r="N4580">
            <v>0</v>
          </cell>
          <cell r="O4580">
            <v>0</v>
          </cell>
          <cell r="AP4580">
            <v>0</v>
          </cell>
        </row>
        <row r="4581">
          <cell r="C4581">
            <v>0</v>
          </cell>
          <cell r="N4581">
            <v>0</v>
          </cell>
          <cell r="O4581">
            <v>0</v>
          </cell>
          <cell r="AP4581">
            <v>0</v>
          </cell>
        </row>
        <row r="4582">
          <cell r="C4582">
            <v>0</v>
          </cell>
          <cell r="N4582">
            <v>0</v>
          </cell>
          <cell r="O4582">
            <v>0</v>
          </cell>
          <cell r="AP4582">
            <v>0</v>
          </cell>
        </row>
        <row r="4583">
          <cell r="C4583">
            <v>0</v>
          </cell>
          <cell r="N4583">
            <v>0</v>
          </cell>
          <cell r="O4583">
            <v>0</v>
          </cell>
          <cell r="AP4583">
            <v>0</v>
          </cell>
        </row>
        <row r="4584">
          <cell r="C4584">
            <v>0</v>
          </cell>
          <cell r="N4584">
            <v>0</v>
          </cell>
          <cell r="O4584">
            <v>0</v>
          </cell>
          <cell r="AP4584">
            <v>0</v>
          </cell>
        </row>
        <row r="4585">
          <cell r="C4585">
            <v>0</v>
          </cell>
          <cell r="N4585">
            <v>0</v>
          </cell>
          <cell r="O4585">
            <v>0</v>
          </cell>
          <cell r="AP4585">
            <v>0</v>
          </cell>
        </row>
        <row r="4586">
          <cell r="C4586">
            <v>0</v>
          </cell>
          <cell r="N4586">
            <v>0</v>
          </cell>
          <cell r="O4586">
            <v>0</v>
          </cell>
          <cell r="AP4586">
            <v>0</v>
          </cell>
        </row>
        <row r="4587">
          <cell r="C4587">
            <v>0</v>
          </cell>
          <cell r="N4587">
            <v>0</v>
          </cell>
          <cell r="O4587">
            <v>0</v>
          </cell>
          <cell r="AP4587">
            <v>0</v>
          </cell>
        </row>
        <row r="4588">
          <cell r="C4588">
            <v>0</v>
          </cell>
          <cell r="N4588">
            <v>0</v>
          </cell>
          <cell r="O4588">
            <v>0</v>
          </cell>
          <cell r="AP4588">
            <v>0</v>
          </cell>
        </row>
        <row r="4589">
          <cell r="C4589">
            <v>0</v>
          </cell>
          <cell r="N4589">
            <v>0</v>
          </cell>
          <cell r="O4589">
            <v>0</v>
          </cell>
          <cell r="AP4589">
            <v>0</v>
          </cell>
        </row>
        <row r="4590">
          <cell r="C4590">
            <v>0</v>
          </cell>
          <cell r="N4590">
            <v>0</v>
          </cell>
          <cell r="O4590">
            <v>0</v>
          </cell>
          <cell r="AP4590">
            <v>0</v>
          </cell>
        </row>
        <row r="4591">
          <cell r="C4591">
            <v>0</v>
          </cell>
          <cell r="N4591">
            <v>0</v>
          </cell>
          <cell r="O4591">
            <v>0</v>
          </cell>
          <cell r="AP4591">
            <v>0</v>
          </cell>
        </row>
        <row r="4592">
          <cell r="C4592">
            <v>0</v>
          </cell>
          <cell r="N4592">
            <v>0</v>
          </cell>
          <cell r="O4592">
            <v>0</v>
          </cell>
          <cell r="AP4592">
            <v>0</v>
          </cell>
        </row>
        <row r="4593">
          <cell r="C4593">
            <v>0</v>
          </cell>
          <cell r="N4593">
            <v>0</v>
          </cell>
          <cell r="O4593">
            <v>0</v>
          </cell>
          <cell r="AP4593">
            <v>0</v>
          </cell>
        </row>
        <row r="4594">
          <cell r="C4594">
            <v>0</v>
          </cell>
          <cell r="N4594">
            <v>0</v>
          </cell>
          <cell r="O4594">
            <v>0</v>
          </cell>
          <cell r="AP4594">
            <v>0</v>
          </cell>
        </row>
        <row r="4595">
          <cell r="C4595">
            <v>0</v>
          </cell>
          <cell r="N4595">
            <v>0</v>
          </cell>
          <cell r="O4595">
            <v>0</v>
          </cell>
          <cell r="AP4595">
            <v>0</v>
          </cell>
        </row>
        <row r="4596">
          <cell r="C4596">
            <v>0</v>
          </cell>
          <cell r="N4596">
            <v>0</v>
          </cell>
          <cell r="O4596">
            <v>0</v>
          </cell>
          <cell r="AP4596">
            <v>0</v>
          </cell>
        </row>
        <row r="4597">
          <cell r="C4597">
            <v>0</v>
          </cell>
          <cell r="N4597">
            <v>0</v>
          </cell>
          <cell r="O4597">
            <v>0</v>
          </cell>
          <cell r="AP4597">
            <v>0</v>
          </cell>
        </row>
        <row r="4598">
          <cell r="C4598">
            <v>0</v>
          </cell>
          <cell r="N4598">
            <v>0</v>
          </cell>
          <cell r="O4598">
            <v>0</v>
          </cell>
          <cell r="AP4598">
            <v>0</v>
          </cell>
        </row>
        <row r="4599">
          <cell r="C4599">
            <v>0</v>
          </cell>
          <cell r="N4599">
            <v>0</v>
          </cell>
          <cell r="O4599">
            <v>0</v>
          </cell>
          <cell r="AP4599">
            <v>0</v>
          </cell>
        </row>
        <row r="4600">
          <cell r="C4600">
            <v>0</v>
          </cell>
          <cell r="N4600">
            <v>0</v>
          </cell>
          <cell r="O4600">
            <v>0</v>
          </cell>
          <cell r="AP4600">
            <v>0</v>
          </cell>
        </row>
        <row r="4601">
          <cell r="C4601">
            <v>0</v>
          </cell>
          <cell r="N4601">
            <v>0</v>
          </cell>
          <cell r="O4601">
            <v>0</v>
          </cell>
          <cell r="AP4601">
            <v>0</v>
          </cell>
        </row>
        <row r="4602">
          <cell r="C4602">
            <v>0</v>
          </cell>
          <cell r="N4602">
            <v>0</v>
          </cell>
          <cell r="O4602">
            <v>0</v>
          </cell>
          <cell r="AP4602">
            <v>0</v>
          </cell>
        </row>
        <row r="4603">
          <cell r="C4603">
            <v>0</v>
          </cell>
          <cell r="N4603">
            <v>0</v>
          </cell>
          <cell r="O4603">
            <v>0</v>
          </cell>
          <cell r="AP4603">
            <v>0</v>
          </cell>
        </row>
        <row r="4604">
          <cell r="C4604">
            <v>0</v>
          </cell>
          <cell r="N4604">
            <v>0</v>
          </cell>
          <cell r="O4604">
            <v>0</v>
          </cell>
          <cell r="AP4604">
            <v>0</v>
          </cell>
        </row>
        <row r="4605">
          <cell r="C4605">
            <v>0</v>
          </cell>
          <cell r="N4605">
            <v>0</v>
          </cell>
          <cell r="O4605">
            <v>0</v>
          </cell>
          <cell r="AP4605">
            <v>0</v>
          </cell>
        </row>
        <row r="4606">
          <cell r="C4606">
            <v>0</v>
          </cell>
          <cell r="N4606">
            <v>0</v>
          </cell>
          <cell r="O4606">
            <v>0</v>
          </cell>
          <cell r="AP4606">
            <v>0</v>
          </cell>
        </row>
        <row r="4607">
          <cell r="C4607">
            <v>0</v>
          </cell>
          <cell r="N4607">
            <v>0</v>
          </cell>
          <cell r="O4607">
            <v>0</v>
          </cell>
          <cell r="AP4607">
            <v>0</v>
          </cell>
        </row>
        <row r="4608">
          <cell r="C4608">
            <v>0</v>
          </cell>
          <cell r="N4608">
            <v>0</v>
          </cell>
          <cell r="O4608">
            <v>0</v>
          </cell>
          <cell r="AP4608">
            <v>0</v>
          </cell>
        </row>
        <row r="4609">
          <cell r="C4609">
            <v>0</v>
          </cell>
          <cell r="N4609">
            <v>0</v>
          </cell>
          <cell r="O4609">
            <v>0</v>
          </cell>
          <cell r="AP4609">
            <v>0</v>
          </cell>
        </row>
        <row r="4610">
          <cell r="C4610">
            <v>0</v>
          </cell>
          <cell r="N4610">
            <v>0</v>
          </cell>
          <cell r="O4610">
            <v>0</v>
          </cell>
          <cell r="AP4610">
            <v>0</v>
          </cell>
        </row>
        <row r="4611">
          <cell r="C4611">
            <v>0</v>
          </cell>
          <cell r="N4611">
            <v>0</v>
          </cell>
          <cell r="O4611">
            <v>0</v>
          </cell>
          <cell r="AP4611">
            <v>0</v>
          </cell>
        </row>
        <row r="4612">
          <cell r="C4612">
            <v>0</v>
          </cell>
          <cell r="N4612">
            <v>0</v>
          </cell>
          <cell r="O4612">
            <v>0</v>
          </cell>
          <cell r="AP4612">
            <v>0</v>
          </cell>
        </row>
        <row r="4613">
          <cell r="C4613">
            <v>0</v>
          </cell>
          <cell r="N4613">
            <v>0</v>
          </cell>
          <cell r="O4613">
            <v>0</v>
          </cell>
          <cell r="AP4613">
            <v>0</v>
          </cell>
        </row>
        <row r="4614">
          <cell r="C4614">
            <v>0</v>
          </cell>
          <cell r="N4614">
            <v>0</v>
          </cell>
          <cell r="O4614">
            <v>0</v>
          </cell>
          <cell r="AP4614">
            <v>0</v>
          </cell>
        </row>
        <row r="4615">
          <cell r="C4615">
            <v>0</v>
          </cell>
          <cell r="N4615">
            <v>0</v>
          </cell>
          <cell r="O4615">
            <v>0</v>
          </cell>
          <cell r="AP4615">
            <v>0</v>
          </cell>
        </row>
        <row r="4616">
          <cell r="C4616">
            <v>0</v>
          </cell>
          <cell r="N4616">
            <v>0</v>
          </cell>
          <cell r="O4616">
            <v>0</v>
          </cell>
          <cell r="AP4616">
            <v>0</v>
          </cell>
        </row>
        <row r="4617">
          <cell r="C4617">
            <v>0</v>
          </cell>
          <cell r="N4617">
            <v>0</v>
          </cell>
          <cell r="O4617">
            <v>0</v>
          </cell>
          <cell r="AP4617">
            <v>0</v>
          </cell>
        </row>
        <row r="4618">
          <cell r="C4618">
            <v>0</v>
          </cell>
          <cell r="N4618">
            <v>0</v>
          </cell>
          <cell r="O4618">
            <v>0</v>
          </cell>
          <cell r="AP4618">
            <v>0</v>
          </cell>
        </row>
        <row r="4619">
          <cell r="C4619">
            <v>0</v>
          </cell>
          <cell r="N4619">
            <v>0</v>
          </cell>
          <cell r="O4619">
            <v>0</v>
          </cell>
          <cell r="AP4619">
            <v>0</v>
          </cell>
        </row>
        <row r="4620">
          <cell r="C4620">
            <v>0</v>
          </cell>
          <cell r="N4620">
            <v>0</v>
          </cell>
          <cell r="O4620">
            <v>0</v>
          </cell>
          <cell r="AP4620">
            <v>0</v>
          </cell>
        </row>
        <row r="4621">
          <cell r="C4621">
            <v>0</v>
          </cell>
          <cell r="N4621">
            <v>0</v>
          </cell>
          <cell r="O4621">
            <v>0</v>
          </cell>
          <cell r="AP4621">
            <v>0</v>
          </cell>
        </row>
        <row r="4622">
          <cell r="C4622">
            <v>0</v>
          </cell>
          <cell r="N4622">
            <v>0</v>
          </cell>
          <cell r="O4622">
            <v>0</v>
          </cell>
          <cell r="AP4622">
            <v>0</v>
          </cell>
        </row>
        <row r="4623">
          <cell r="C4623">
            <v>0</v>
          </cell>
          <cell r="N4623">
            <v>0</v>
          </cell>
          <cell r="O4623">
            <v>0</v>
          </cell>
          <cell r="AP4623">
            <v>0</v>
          </cell>
        </row>
        <row r="4624">
          <cell r="C4624">
            <v>0</v>
          </cell>
          <cell r="N4624">
            <v>0</v>
          </cell>
          <cell r="O4624">
            <v>0</v>
          </cell>
          <cell r="AP4624">
            <v>0</v>
          </cell>
        </row>
        <row r="4625">
          <cell r="C4625">
            <v>0</v>
          </cell>
          <cell r="N4625">
            <v>0</v>
          </cell>
          <cell r="O4625">
            <v>0</v>
          </cell>
          <cell r="AP4625">
            <v>0</v>
          </cell>
        </row>
        <row r="4626">
          <cell r="C4626">
            <v>0</v>
          </cell>
          <cell r="N4626">
            <v>0</v>
          </cell>
          <cell r="O4626">
            <v>0</v>
          </cell>
          <cell r="AP4626">
            <v>0</v>
          </cell>
        </row>
        <row r="4627">
          <cell r="C4627">
            <v>0</v>
          </cell>
          <cell r="N4627">
            <v>0</v>
          </cell>
          <cell r="O4627">
            <v>0</v>
          </cell>
          <cell r="AP4627">
            <v>0</v>
          </cell>
        </row>
        <row r="4628">
          <cell r="C4628">
            <v>0</v>
          </cell>
          <cell r="N4628">
            <v>0</v>
          </cell>
          <cell r="O4628">
            <v>0</v>
          </cell>
          <cell r="AP4628">
            <v>0</v>
          </cell>
        </row>
        <row r="4629">
          <cell r="C4629">
            <v>0</v>
          </cell>
          <cell r="N4629">
            <v>0</v>
          </cell>
          <cell r="O4629">
            <v>0</v>
          </cell>
          <cell r="AP4629">
            <v>0</v>
          </cell>
        </row>
        <row r="4630">
          <cell r="C4630">
            <v>0</v>
          </cell>
          <cell r="N4630">
            <v>0</v>
          </cell>
          <cell r="O4630">
            <v>0</v>
          </cell>
          <cell r="AP4630">
            <v>0</v>
          </cell>
        </row>
        <row r="4631">
          <cell r="C4631">
            <v>0</v>
          </cell>
          <cell r="N4631">
            <v>0</v>
          </cell>
          <cell r="O4631">
            <v>0</v>
          </cell>
          <cell r="AP4631">
            <v>0</v>
          </cell>
        </row>
        <row r="4632">
          <cell r="C4632">
            <v>0</v>
          </cell>
          <cell r="N4632">
            <v>0</v>
          </cell>
          <cell r="O4632">
            <v>0</v>
          </cell>
          <cell r="AP4632">
            <v>0</v>
          </cell>
        </row>
        <row r="4633">
          <cell r="C4633">
            <v>0</v>
          </cell>
          <cell r="N4633">
            <v>0</v>
          </cell>
          <cell r="O4633">
            <v>0</v>
          </cell>
          <cell r="AP4633">
            <v>0</v>
          </cell>
        </row>
        <row r="4634">
          <cell r="C4634">
            <v>0</v>
          </cell>
          <cell r="N4634">
            <v>0</v>
          </cell>
          <cell r="O4634">
            <v>0</v>
          </cell>
          <cell r="AP4634">
            <v>0</v>
          </cell>
        </row>
        <row r="4635">
          <cell r="C4635">
            <v>0</v>
          </cell>
          <cell r="N4635">
            <v>0</v>
          </cell>
          <cell r="O4635">
            <v>0</v>
          </cell>
          <cell r="AP4635">
            <v>0</v>
          </cell>
        </row>
        <row r="4636">
          <cell r="C4636">
            <v>0</v>
          </cell>
          <cell r="N4636">
            <v>0</v>
          </cell>
          <cell r="O4636">
            <v>0</v>
          </cell>
          <cell r="AP4636">
            <v>0</v>
          </cell>
        </row>
        <row r="4637">
          <cell r="C4637">
            <v>0</v>
          </cell>
          <cell r="N4637">
            <v>0</v>
          </cell>
          <cell r="O4637">
            <v>0</v>
          </cell>
          <cell r="AP4637">
            <v>0</v>
          </cell>
        </row>
        <row r="4638">
          <cell r="C4638">
            <v>0</v>
          </cell>
          <cell r="N4638">
            <v>0</v>
          </cell>
          <cell r="O4638">
            <v>0</v>
          </cell>
          <cell r="AP4638">
            <v>0</v>
          </cell>
        </row>
        <row r="4639">
          <cell r="C4639">
            <v>0</v>
          </cell>
          <cell r="N4639">
            <v>0</v>
          </cell>
          <cell r="O4639">
            <v>0</v>
          </cell>
          <cell r="AP4639">
            <v>0</v>
          </cell>
        </row>
        <row r="4640">
          <cell r="C4640">
            <v>0</v>
          </cell>
          <cell r="N4640">
            <v>0</v>
          </cell>
          <cell r="O4640">
            <v>0</v>
          </cell>
          <cell r="AP4640">
            <v>0</v>
          </cell>
        </row>
        <row r="4641">
          <cell r="C4641">
            <v>0</v>
          </cell>
          <cell r="N4641">
            <v>0</v>
          </cell>
          <cell r="O4641">
            <v>0</v>
          </cell>
          <cell r="AP4641">
            <v>0</v>
          </cell>
        </row>
        <row r="4642">
          <cell r="C4642">
            <v>0</v>
          </cell>
          <cell r="N4642">
            <v>0</v>
          </cell>
          <cell r="O4642">
            <v>0</v>
          </cell>
          <cell r="AP4642">
            <v>0</v>
          </cell>
        </row>
        <row r="4643">
          <cell r="C4643">
            <v>0</v>
          </cell>
          <cell r="N4643">
            <v>0</v>
          </cell>
          <cell r="O4643">
            <v>0</v>
          </cell>
          <cell r="AP4643">
            <v>0</v>
          </cell>
        </row>
        <row r="4644">
          <cell r="C4644">
            <v>0</v>
          </cell>
          <cell r="N4644">
            <v>0</v>
          </cell>
          <cell r="O4644">
            <v>0</v>
          </cell>
          <cell r="AP4644">
            <v>0</v>
          </cell>
        </row>
        <row r="4645">
          <cell r="C4645">
            <v>0</v>
          </cell>
          <cell r="N4645">
            <v>0</v>
          </cell>
          <cell r="O4645">
            <v>0</v>
          </cell>
          <cell r="AP4645">
            <v>0</v>
          </cell>
        </row>
        <row r="4646">
          <cell r="C4646">
            <v>0</v>
          </cell>
          <cell r="N4646">
            <v>0</v>
          </cell>
          <cell r="O4646">
            <v>0</v>
          </cell>
          <cell r="AP4646">
            <v>0</v>
          </cell>
        </row>
        <row r="4647">
          <cell r="C4647">
            <v>0</v>
          </cell>
          <cell r="N4647">
            <v>0</v>
          </cell>
          <cell r="O4647">
            <v>0</v>
          </cell>
          <cell r="AP4647">
            <v>0</v>
          </cell>
        </row>
        <row r="4648">
          <cell r="C4648">
            <v>0</v>
          </cell>
          <cell r="N4648">
            <v>0</v>
          </cell>
          <cell r="O4648">
            <v>0</v>
          </cell>
          <cell r="AP4648">
            <v>0</v>
          </cell>
        </row>
        <row r="4649">
          <cell r="C4649">
            <v>0</v>
          </cell>
          <cell r="N4649">
            <v>0</v>
          </cell>
          <cell r="O4649">
            <v>0</v>
          </cell>
          <cell r="AP4649">
            <v>0</v>
          </cell>
        </row>
        <row r="4650">
          <cell r="C4650">
            <v>0</v>
          </cell>
          <cell r="N4650">
            <v>0</v>
          </cell>
          <cell r="O4650">
            <v>0</v>
          </cell>
          <cell r="AP4650">
            <v>0</v>
          </cell>
        </row>
        <row r="4651">
          <cell r="C4651">
            <v>0</v>
          </cell>
          <cell r="N4651">
            <v>0</v>
          </cell>
          <cell r="O4651">
            <v>0</v>
          </cell>
          <cell r="AP4651">
            <v>0</v>
          </cell>
        </row>
        <row r="4652">
          <cell r="C4652">
            <v>0</v>
          </cell>
          <cell r="N4652">
            <v>0</v>
          </cell>
          <cell r="O4652">
            <v>0</v>
          </cell>
          <cell r="AP4652">
            <v>0</v>
          </cell>
        </row>
        <row r="4653">
          <cell r="C4653">
            <v>0</v>
          </cell>
          <cell r="N4653">
            <v>0</v>
          </cell>
          <cell r="O4653">
            <v>0</v>
          </cell>
          <cell r="AP4653">
            <v>0</v>
          </cell>
        </row>
        <row r="4654">
          <cell r="C4654">
            <v>0</v>
          </cell>
          <cell r="N4654">
            <v>0</v>
          </cell>
          <cell r="O4654">
            <v>0</v>
          </cell>
          <cell r="AP4654">
            <v>0</v>
          </cell>
        </row>
        <row r="4655">
          <cell r="C4655">
            <v>0</v>
          </cell>
          <cell r="N4655">
            <v>0</v>
          </cell>
          <cell r="O4655">
            <v>0</v>
          </cell>
          <cell r="AP4655">
            <v>0</v>
          </cell>
        </row>
        <row r="4656">
          <cell r="C4656">
            <v>0</v>
          </cell>
          <cell r="N4656">
            <v>0</v>
          </cell>
          <cell r="O4656">
            <v>0</v>
          </cell>
          <cell r="AP4656">
            <v>0</v>
          </cell>
        </row>
        <row r="4657">
          <cell r="C4657">
            <v>0</v>
          </cell>
          <cell r="N4657">
            <v>0</v>
          </cell>
          <cell r="O4657">
            <v>0</v>
          </cell>
          <cell r="AP4657">
            <v>0</v>
          </cell>
        </row>
        <row r="4658">
          <cell r="C4658">
            <v>0</v>
          </cell>
          <cell r="N4658">
            <v>0</v>
          </cell>
          <cell r="O4658">
            <v>0</v>
          </cell>
          <cell r="AP4658">
            <v>0</v>
          </cell>
        </row>
        <row r="4659">
          <cell r="C4659">
            <v>0</v>
          </cell>
          <cell r="N4659">
            <v>0</v>
          </cell>
          <cell r="O4659">
            <v>0</v>
          </cell>
          <cell r="AP4659">
            <v>0</v>
          </cell>
        </row>
        <row r="4660">
          <cell r="C4660">
            <v>0</v>
          </cell>
          <cell r="N4660">
            <v>0</v>
          </cell>
          <cell r="O4660">
            <v>0</v>
          </cell>
          <cell r="AP4660">
            <v>0</v>
          </cell>
        </row>
        <row r="4661">
          <cell r="C4661">
            <v>0</v>
          </cell>
          <cell r="N4661">
            <v>0</v>
          </cell>
          <cell r="O4661">
            <v>0</v>
          </cell>
          <cell r="AP4661">
            <v>0</v>
          </cell>
        </row>
        <row r="4662">
          <cell r="C4662">
            <v>0</v>
          </cell>
          <cell r="N4662">
            <v>0</v>
          </cell>
          <cell r="O4662">
            <v>0</v>
          </cell>
          <cell r="AP4662">
            <v>0</v>
          </cell>
        </row>
        <row r="4663">
          <cell r="C4663">
            <v>0</v>
          </cell>
          <cell r="N4663">
            <v>0</v>
          </cell>
          <cell r="O4663">
            <v>0</v>
          </cell>
          <cell r="AP4663">
            <v>0</v>
          </cell>
        </row>
        <row r="4664">
          <cell r="C4664">
            <v>0</v>
          </cell>
          <cell r="N4664">
            <v>0</v>
          </cell>
          <cell r="O4664">
            <v>0</v>
          </cell>
          <cell r="AP4664">
            <v>0</v>
          </cell>
        </row>
        <row r="4665">
          <cell r="C4665">
            <v>0</v>
          </cell>
          <cell r="N4665">
            <v>0</v>
          </cell>
          <cell r="O4665">
            <v>0</v>
          </cell>
          <cell r="AP4665">
            <v>0</v>
          </cell>
        </row>
        <row r="4666">
          <cell r="C4666">
            <v>0</v>
          </cell>
          <cell r="N4666">
            <v>0</v>
          </cell>
          <cell r="O4666">
            <v>0</v>
          </cell>
          <cell r="AP4666">
            <v>0</v>
          </cell>
        </row>
        <row r="4667">
          <cell r="C4667">
            <v>0</v>
          </cell>
          <cell r="N4667">
            <v>0</v>
          </cell>
          <cell r="O4667">
            <v>0</v>
          </cell>
          <cell r="AP4667">
            <v>0</v>
          </cell>
        </row>
        <row r="4668">
          <cell r="C4668">
            <v>0</v>
          </cell>
          <cell r="N4668">
            <v>0</v>
          </cell>
          <cell r="O4668">
            <v>0</v>
          </cell>
          <cell r="AP4668">
            <v>0</v>
          </cell>
        </row>
        <row r="4669">
          <cell r="C4669">
            <v>0</v>
          </cell>
          <cell r="N4669">
            <v>0</v>
          </cell>
          <cell r="O4669">
            <v>0</v>
          </cell>
          <cell r="AP4669">
            <v>0</v>
          </cell>
        </row>
        <row r="4670">
          <cell r="C4670">
            <v>0</v>
          </cell>
          <cell r="N4670">
            <v>0</v>
          </cell>
          <cell r="O4670">
            <v>0</v>
          </cell>
          <cell r="AP4670">
            <v>0</v>
          </cell>
        </row>
        <row r="4671">
          <cell r="C4671">
            <v>0</v>
          </cell>
          <cell r="N4671">
            <v>0</v>
          </cell>
          <cell r="O4671">
            <v>0</v>
          </cell>
          <cell r="AP4671">
            <v>0</v>
          </cell>
        </row>
        <row r="4672">
          <cell r="C4672">
            <v>0</v>
          </cell>
          <cell r="N4672">
            <v>0</v>
          </cell>
          <cell r="O4672">
            <v>0</v>
          </cell>
          <cell r="AP4672">
            <v>0</v>
          </cell>
        </row>
        <row r="4673">
          <cell r="C4673">
            <v>0</v>
          </cell>
          <cell r="N4673">
            <v>0</v>
          </cell>
          <cell r="O4673">
            <v>0</v>
          </cell>
          <cell r="AP4673">
            <v>0</v>
          </cell>
        </row>
        <row r="4674">
          <cell r="C4674">
            <v>0</v>
          </cell>
          <cell r="N4674">
            <v>0</v>
          </cell>
          <cell r="O4674">
            <v>0</v>
          </cell>
          <cell r="AP4674">
            <v>0</v>
          </cell>
        </row>
        <row r="4675">
          <cell r="C4675">
            <v>0</v>
          </cell>
          <cell r="N4675">
            <v>0</v>
          </cell>
          <cell r="O4675">
            <v>0</v>
          </cell>
          <cell r="AP4675">
            <v>0</v>
          </cell>
        </row>
        <row r="4676">
          <cell r="C4676">
            <v>0</v>
          </cell>
          <cell r="N4676">
            <v>0</v>
          </cell>
          <cell r="O4676">
            <v>0</v>
          </cell>
          <cell r="AP4676">
            <v>0</v>
          </cell>
        </row>
        <row r="4677">
          <cell r="C4677">
            <v>0</v>
          </cell>
          <cell r="N4677">
            <v>0</v>
          </cell>
          <cell r="O4677">
            <v>0</v>
          </cell>
          <cell r="AP4677">
            <v>0</v>
          </cell>
        </row>
        <row r="4678">
          <cell r="C4678">
            <v>0</v>
          </cell>
          <cell r="N4678">
            <v>0</v>
          </cell>
          <cell r="O4678">
            <v>0</v>
          </cell>
          <cell r="AP4678">
            <v>0</v>
          </cell>
        </row>
        <row r="4679">
          <cell r="C4679">
            <v>0</v>
          </cell>
          <cell r="N4679">
            <v>0</v>
          </cell>
          <cell r="O4679">
            <v>0</v>
          </cell>
          <cell r="AP4679">
            <v>0</v>
          </cell>
        </row>
        <row r="4680">
          <cell r="C4680">
            <v>0</v>
          </cell>
          <cell r="N4680">
            <v>0</v>
          </cell>
          <cell r="O4680">
            <v>0</v>
          </cell>
          <cell r="AP4680">
            <v>0</v>
          </cell>
        </row>
        <row r="4681">
          <cell r="C4681">
            <v>0</v>
          </cell>
          <cell r="N4681">
            <v>0</v>
          </cell>
          <cell r="O4681">
            <v>0</v>
          </cell>
          <cell r="AP4681">
            <v>0</v>
          </cell>
        </row>
        <row r="4682">
          <cell r="C4682">
            <v>0</v>
          </cell>
          <cell r="N4682">
            <v>0</v>
          </cell>
          <cell r="O4682">
            <v>0</v>
          </cell>
          <cell r="AP4682">
            <v>0</v>
          </cell>
        </row>
        <row r="4683">
          <cell r="C4683">
            <v>0</v>
          </cell>
          <cell r="N4683">
            <v>0</v>
          </cell>
          <cell r="O4683">
            <v>0</v>
          </cell>
          <cell r="AP4683">
            <v>0</v>
          </cell>
        </row>
        <row r="4684">
          <cell r="C4684">
            <v>0</v>
          </cell>
          <cell r="N4684">
            <v>0</v>
          </cell>
          <cell r="O4684">
            <v>0</v>
          </cell>
          <cell r="AP4684">
            <v>0</v>
          </cell>
        </row>
        <row r="4685">
          <cell r="C4685">
            <v>0</v>
          </cell>
          <cell r="N4685">
            <v>0</v>
          </cell>
          <cell r="O4685">
            <v>0</v>
          </cell>
          <cell r="AP4685">
            <v>0</v>
          </cell>
        </row>
        <row r="4686">
          <cell r="C4686">
            <v>0</v>
          </cell>
          <cell r="N4686">
            <v>0</v>
          </cell>
          <cell r="O4686">
            <v>0</v>
          </cell>
          <cell r="AP4686">
            <v>0</v>
          </cell>
        </row>
        <row r="4687">
          <cell r="C4687">
            <v>0</v>
          </cell>
          <cell r="N4687">
            <v>0</v>
          </cell>
          <cell r="O4687">
            <v>0</v>
          </cell>
          <cell r="AP4687">
            <v>0</v>
          </cell>
        </row>
        <row r="4688">
          <cell r="C4688">
            <v>0</v>
          </cell>
          <cell r="N4688">
            <v>0</v>
          </cell>
          <cell r="O4688">
            <v>0</v>
          </cell>
          <cell r="AP4688">
            <v>0</v>
          </cell>
        </row>
        <row r="4689">
          <cell r="C4689">
            <v>0</v>
          </cell>
          <cell r="N4689">
            <v>0</v>
          </cell>
          <cell r="O4689">
            <v>0</v>
          </cell>
          <cell r="AP4689">
            <v>0</v>
          </cell>
        </row>
        <row r="4690">
          <cell r="C4690">
            <v>0</v>
          </cell>
          <cell r="N4690">
            <v>0</v>
          </cell>
          <cell r="O4690">
            <v>0</v>
          </cell>
          <cell r="AP4690">
            <v>0</v>
          </cell>
        </row>
        <row r="4691">
          <cell r="C4691">
            <v>0</v>
          </cell>
          <cell r="N4691">
            <v>0</v>
          </cell>
          <cell r="O4691">
            <v>0</v>
          </cell>
          <cell r="AP4691">
            <v>0</v>
          </cell>
        </row>
        <row r="4692">
          <cell r="C4692">
            <v>0</v>
          </cell>
          <cell r="N4692">
            <v>0</v>
          </cell>
          <cell r="O4692">
            <v>0</v>
          </cell>
          <cell r="AP4692">
            <v>0</v>
          </cell>
        </row>
        <row r="4693">
          <cell r="C4693">
            <v>0</v>
          </cell>
          <cell r="N4693">
            <v>0</v>
          </cell>
          <cell r="O4693">
            <v>0</v>
          </cell>
          <cell r="AP4693">
            <v>0</v>
          </cell>
        </row>
        <row r="4694">
          <cell r="C4694">
            <v>0</v>
          </cell>
          <cell r="N4694">
            <v>0</v>
          </cell>
          <cell r="O4694">
            <v>0</v>
          </cell>
          <cell r="AP4694">
            <v>0</v>
          </cell>
        </row>
        <row r="4695">
          <cell r="C4695">
            <v>0</v>
          </cell>
          <cell r="N4695">
            <v>0</v>
          </cell>
          <cell r="O4695">
            <v>0</v>
          </cell>
          <cell r="AP4695">
            <v>0</v>
          </cell>
        </row>
        <row r="4696">
          <cell r="C4696">
            <v>0</v>
          </cell>
          <cell r="N4696">
            <v>0</v>
          </cell>
          <cell r="O4696">
            <v>0</v>
          </cell>
          <cell r="AP4696">
            <v>0</v>
          </cell>
        </row>
        <row r="4697">
          <cell r="C4697">
            <v>0</v>
          </cell>
          <cell r="N4697">
            <v>0</v>
          </cell>
          <cell r="O4697">
            <v>0</v>
          </cell>
          <cell r="AP4697">
            <v>0</v>
          </cell>
        </row>
        <row r="4698">
          <cell r="C4698">
            <v>0</v>
          </cell>
          <cell r="N4698">
            <v>0</v>
          </cell>
          <cell r="O4698">
            <v>0</v>
          </cell>
          <cell r="AP4698">
            <v>0</v>
          </cell>
        </row>
        <row r="4699">
          <cell r="C4699">
            <v>0</v>
          </cell>
          <cell r="N4699">
            <v>0</v>
          </cell>
          <cell r="O4699">
            <v>0</v>
          </cell>
          <cell r="AP4699">
            <v>0</v>
          </cell>
        </row>
        <row r="4700">
          <cell r="C4700">
            <v>0</v>
          </cell>
          <cell r="N4700">
            <v>0</v>
          </cell>
          <cell r="O4700">
            <v>0</v>
          </cell>
          <cell r="AP4700">
            <v>0</v>
          </cell>
        </row>
        <row r="4701">
          <cell r="C4701">
            <v>0</v>
          </cell>
          <cell r="N4701">
            <v>0</v>
          </cell>
          <cell r="O4701">
            <v>0</v>
          </cell>
          <cell r="AP4701">
            <v>0</v>
          </cell>
        </row>
        <row r="4702">
          <cell r="C4702">
            <v>0</v>
          </cell>
          <cell r="N4702">
            <v>0</v>
          </cell>
          <cell r="O4702">
            <v>0</v>
          </cell>
          <cell r="AP4702">
            <v>0</v>
          </cell>
        </row>
        <row r="4703">
          <cell r="C4703">
            <v>0</v>
          </cell>
          <cell r="N4703">
            <v>0</v>
          </cell>
          <cell r="O4703">
            <v>0</v>
          </cell>
          <cell r="AP4703">
            <v>0</v>
          </cell>
        </row>
        <row r="4704">
          <cell r="C4704">
            <v>0</v>
          </cell>
          <cell r="N4704">
            <v>0</v>
          </cell>
          <cell r="O4704">
            <v>0</v>
          </cell>
          <cell r="AP4704">
            <v>0</v>
          </cell>
        </row>
        <row r="4705">
          <cell r="C4705">
            <v>0</v>
          </cell>
          <cell r="N4705">
            <v>0</v>
          </cell>
          <cell r="O4705">
            <v>0</v>
          </cell>
          <cell r="AP4705">
            <v>0</v>
          </cell>
        </row>
        <row r="4706">
          <cell r="C4706">
            <v>0</v>
          </cell>
          <cell r="N4706">
            <v>0</v>
          </cell>
          <cell r="O4706">
            <v>0</v>
          </cell>
          <cell r="AP4706">
            <v>0</v>
          </cell>
        </row>
        <row r="4707">
          <cell r="C4707">
            <v>0</v>
          </cell>
          <cell r="N4707">
            <v>0</v>
          </cell>
          <cell r="O4707">
            <v>0</v>
          </cell>
          <cell r="AP4707">
            <v>0</v>
          </cell>
        </row>
        <row r="4708">
          <cell r="C4708">
            <v>0</v>
          </cell>
          <cell r="N4708">
            <v>0</v>
          </cell>
          <cell r="O4708">
            <v>0</v>
          </cell>
          <cell r="AP4708">
            <v>0</v>
          </cell>
        </row>
        <row r="4709">
          <cell r="C4709">
            <v>0</v>
          </cell>
          <cell r="N4709">
            <v>0</v>
          </cell>
          <cell r="O4709">
            <v>0</v>
          </cell>
          <cell r="AP4709">
            <v>0</v>
          </cell>
        </row>
        <row r="4710">
          <cell r="C4710">
            <v>0</v>
          </cell>
          <cell r="N4710">
            <v>0</v>
          </cell>
          <cell r="O4710">
            <v>0</v>
          </cell>
          <cell r="AP4710">
            <v>0</v>
          </cell>
        </row>
        <row r="4711">
          <cell r="C4711">
            <v>0</v>
          </cell>
          <cell r="N4711">
            <v>0</v>
          </cell>
          <cell r="O4711">
            <v>0</v>
          </cell>
          <cell r="AP4711">
            <v>0</v>
          </cell>
        </row>
        <row r="4712">
          <cell r="C4712">
            <v>0</v>
          </cell>
          <cell r="N4712">
            <v>0</v>
          </cell>
          <cell r="O4712">
            <v>0</v>
          </cell>
          <cell r="AP4712">
            <v>0</v>
          </cell>
        </row>
        <row r="4713">
          <cell r="C4713">
            <v>0</v>
          </cell>
          <cell r="N4713">
            <v>0</v>
          </cell>
          <cell r="O4713">
            <v>0</v>
          </cell>
          <cell r="AP4713">
            <v>0</v>
          </cell>
        </row>
        <row r="4714">
          <cell r="C4714">
            <v>0</v>
          </cell>
          <cell r="N4714">
            <v>0</v>
          </cell>
          <cell r="O4714">
            <v>0</v>
          </cell>
          <cell r="AP4714">
            <v>0</v>
          </cell>
        </row>
        <row r="4715">
          <cell r="C4715">
            <v>0</v>
          </cell>
          <cell r="N4715">
            <v>0</v>
          </cell>
          <cell r="O4715">
            <v>0</v>
          </cell>
          <cell r="AP4715">
            <v>0</v>
          </cell>
        </row>
        <row r="4716">
          <cell r="C4716">
            <v>0</v>
          </cell>
          <cell r="N4716">
            <v>0</v>
          </cell>
          <cell r="O4716">
            <v>0</v>
          </cell>
          <cell r="AP4716">
            <v>0</v>
          </cell>
        </row>
        <row r="4717">
          <cell r="C4717">
            <v>0</v>
          </cell>
          <cell r="N4717">
            <v>0</v>
          </cell>
          <cell r="O4717">
            <v>0</v>
          </cell>
          <cell r="AP4717">
            <v>0</v>
          </cell>
        </row>
        <row r="4718">
          <cell r="C4718">
            <v>0</v>
          </cell>
          <cell r="N4718">
            <v>0</v>
          </cell>
          <cell r="O4718">
            <v>0</v>
          </cell>
          <cell r="AP4718">
            <v>0</v>
          </cell>
        </row>
        <row r="4719">
          <cell r="C4719">
            <v>0</v>
          </cell>
          <cell r="N4719">
            <v>0</v>
          </cell>
          <cell r="O4719">
            <v>0</v>
          </cell>
          <cell r="AP4719">
            <v>0</v>
          </cell>
        </row>
        <row r="4720">
          <cell r="C4720">
            <v>0</v>
          </cell>
          <cell r="N4720">
            <v>0</v>
          </cell>
          <cell r="O4720">
            <v>0</v>
          </cell>
          <cell r="AP4720">
            <v>0</v>
          </cell>
        </row>
        <row r="4721">
          <cell r="C4721">
            <v>0</v>
          </cell>
          <cell r="N4721">
            <v>0</v>
          </cell>
          <cell r="O4721">
            <v>0</v>
          </cell>
          <cell r="AP4721">
            <v>0</v>
          </cell>
        </row>
        <row r="4722">
          <cell r="C4722">
            <v>0</v>
          </cell>
          <cell r="N4722">
            <v>0</v>
          </cell>
          <cell r="O4722">
            <v>0</v>
          </cell>
          <cell r="AP4722">
            <v>0</v>
          </cell>
        </row>
        <row r="4723">
          <cell r="C4723">
            <v>0</v>
          </cell>
          <cell r="N4723">
            <v>0</v>
          </cell>
          <cell r="O4723">
            <v>0</v>
          </cell>
          <cell r="AP4723">
            <v>0</v>
          </cell>
        </row>
        <row r="4724">
          <cell r="C4724">
            <v>0</v>
          </cell>
          <cell r="N4724">
            <v>0</v>
          </cell>
          <cell r="O4724">
            <v>0</v>
          </cell>
          <cell r="AP4724">
            <v>0</v>
          </cell>
        </row>
        <row r="4725">
          <cell r="C4725">
            <v>0</v>
          </cell>
          <cell r="N4725">
            <v>0</v>
          </cell>
          <cell r="O4725">
            <v>0</v>
          </cell>
          <cell r="AP4725">
            <v>0</v>
          </cell>
        </row>
        <row r="4726">
          <cell r="C4726">
            <v>0</v>
          </cell>
          <cell r="N4726">
            <v>0</v>
          </cell>
          <cell r="O4726">
            <v>0</v>
          </cell>
          <cell r="AP4726">
            <v>0</v>
          </cell>
        </row>
        <row r="4727">
          <cell r="C4727">
            <v>0</v>
          </cell>
          <cell r="N4727">
            <v>0</v>
          </cell>
          <cell r="O4727">
            <v>0</v>
          </cell>
          <cell r="AP4727">
            <v>0</v>
          </cell>
        </row>
        <row r="4728">
          <cell r="C4728">
            <v>0</v>
          </cell>
          <cell r="N4728">
            <v>0</v>
          </cell>
          <cell r="O4728">
            <v>0</v>
          </cell>
          <cell r="AP4728">
            <v>0</v>
          </cell>
        </row>
        <row r="4729">
          <cell r="C4729">
            <v>0</v>
          </cell>
          <cell r="N4729">
            <v>0</v>
          </cell>
          <cell r="O4729">
            <v>0</v>
          </cell>
          <cell r="AP4729">
            <v>0</v>
          </cell>
        </row>
        <row r="4730">
          <cell r="C4730">
            <v>0</v>
          </cell>
          <cell r="N4730">
            <v>0</v>
          </cell>
          <cell r="O4730">
            <v>0</v>
          </cell>
          <cell r="AP4730">
            <v>0</v>
          </cell>
        </row>
        <row r="4731">
          <cell r="C4731">
            <v>0</v>
          </cell>
          <cell r="N4731">
            <v>0</v>
          </cell>
          <cell r="O4731">
            <v>0</v>
          </cell>
          <cell r="AP4731">
            <v>0</v>
          </cell>
        </row>
        <row r="4732">
          <cell r="C4732">
            <v>0</v>
          </cell>
          <cell r="N4732">
            <v>0</v>
          </cell>
          <cell r="O4732">
            <v>0</v>
          </cell>
          <cell r="AP4732">
            <v>0</v>
          </cell>
        </row>
        <row r="4733">
          <cell r="C4733">
            <v>0</v>
          </cell>
          <cell r="N4733">
            <v>0</v>
          </cell>
          <cell r="O4733">
            <v>0</v>
          </cell>
          <cell r="AP4733">
            <v>0</v>
          </cell>
        </row>
        <row r="4734">
          <cell r="C4734">
            <v>0</v>
          </cell>
          <cell r="N4734">
            <v>0</v>
          </cell>
          <cell r="O4734">
            <v>0</v>
          </cell>
          <cell r="AP4734">
            <v>0</v>
          </cell>
        </row>
        <row r="4735">
          <cell r="C4735">
            <v>0</v>
          </cell>
          <cell r="N4735">
            <v>0</v>
          </cell>
          <cell r="O4735">
            <v>0</v>
          </cell>
          <cell r="AP4735">
            <v>0</v>
          </cell>
        </row>
        <row r="4736">
          <cell r="C4736">
            <v>0</v>
          </cell>
          <cell r="N4736">
            <v>0</v>
          </cell>
          <cell r="O4736">
            <v>0</v>
          </cell>
          <cell r="AP4736">
            <v>0</v>
          </cell>
        </row>
        <row r="4737">
          <cell r="C4737">
            <v>0</v>
          </cell>
          <cell r="N4737">
            <v>0</v>
          </cell>
          <cell r="O4737">
            <v>0</v>
          </cell>
          <cell r="AP4737">
            <v>0</v>
          </cell>
        </row>
        <row r="4738">
          <cell r="C4738">
            <v>0</v>
          </cell>
          <cell r="N4738">
            <v>0</v>
          </cell>
          <cell r="O4738">
            <v>0</v>
          </cell>
          <cell r="AP4738">
            <v>0</v>
          </cell>
        </row>
        <row r="4739">
          <cell r="C4739">
            <v>0</v>
          </cell>
          <cell r="N4739">
            <v>0</v>
          </cell>
          <cell r="O4739">
            <v>0</v>
          </cell>
          <cell r="AP4739">
            <v>0</v>
          </cell>
        </row>
        <row r="4740">
          <cell r="C4740">
            <v>0</v>
          </cell>
          <cell r="N4740">
            <v>0</v>
          </cell>
          <cell r="O4740">
            <v>0</v>
          </cell>
          <cell r="AP4740">
            <v>0</v>
          </cell>
        </row>
        <row r="4741">
          <cell r="C4741">
            <v>0</v>
          </cell>
          <cell r="N4741">
            <v>0</v>
          </cell>
          <cell r="O4741">
            <v>0</v>
          </cell>
          <cell r="AP4741">
            <v>0</v>
          </cell>
        </row>
        <row r="4742">
          <cell r="C4742">
            <v>0</v>
          </cell>
          <cell r="N4742">
            <v>0</v>
          </cell>
          <cell r="O4742">
            <v>0</v>
          </cell>
          <cell r="AP4742">
            <v>0</v>
          </cell>
        </row>
        <row r="4743">
          <cell r="C4743">
            <v>0</v>
          </cell>
          <cell r="N4743">
            <v>0</v>
          </cell>
          <cell r="O4743">
            <v>0</v>
          </cell>
          <cell r="AP4743">
            <v>0</v>
          </cell>
        </row>
        <row r="4744">
          <cell r="C4744">
            <v>0</v>
          </cell>
          <cell r="N4744">
            <v>0</v>
          </cell>
          <cell r="O4744">
            <v>0</v>
          </cell>
          <cell r="AP4744">
            <v>0</v>
          </cell>
        </row>
        <row r="4745">
          <cell r="C4745">
            <v>0</v>
          </cell>
          <cell r="N4745">
            <v>0</v>
          </cell>
          <cell r="O4745">
            <v>0</v>
          </cell>
          <cell r="AP4745">
            <v>0</v>
          </cell>
        </row>
        <row r="4746">
          <cell r="C4746">
            <v>0</v>
          </cell>
          <cell r="N4746">
            <v>0</v>
          </cell>
          <cell r="O4746">
            <v>0</v>
          </cell>
          <cell r="AP4746">
            <v>0</v>
          </cell>
        </row>
        <row r="4747">
          <cell r="C4747">
            <v>0</v>
          </cell>
          <cell r="N4747">
            <v>0</v>
          </cell>
          <cell r="O4747">
            <v>0</v>
          </cell>
          <cell r="AP4747">
            <v>0</v>
          </cell>
        </row>
        <row r="4748">
          <cell r="C4748">
            <v>0</v>
          </cell>
          <cell r="N4748">
            <v>0</v>
          </cell>
          <cell r="O4748">
            <v>0</v>
          </cell>
          <cell r="AP4748">
            <v>0</v>
          </cell>
        </row>
        <row r="4749">
          <cell r="C4749">
            <v>0</v>
          </cell>
          <cell r="N4749">
            <v>0</v>
          </cell>
          <cell r="O4749">
            <v>0</v>
          </cell>
          <cell r="AP4749">
            <v>0</v>
          </cell>
        </row>
        <row r="4750">
          <cell r="C4750">
            <v>0</v>
          </cell>
          <cell r="N4750">
            <v>0</v>
          </cell>
          <cell r="O4750">
            <v>0</v>
          </cell>
          <cell r="AP4750">
            <v>0</v>
          </cell>
        </row>
        <row r="4751">
          <cell r="C4751">
            <v>0</v>
          </cell>
          <cell r="N4751">
            <v>0</v>
          </cell>
          <cell r="O4751">
            <v>0</v>
          </cell>
          <cell r="AP4751">
            <v>0</v>
          </cell>
        </row>
        <row r="4752">
          <cell r="C4752">
            <v>0</v>
          </cell>
          <cell r="N4752">
            <v>0</v>
          </cell>
          <cell r="O4752">
            <v>0</v>
          </cell>
          <cell r="AP4752">
            <v>0</v>
          </cell>
        </row>
        <row r="4753">
          <cell r="C4753">
            <v>0</v>
          </cell>
          <cell r="N4753">
            <v>0</v>
          </cell>
          <cell r="O4753">
            <v>0</v>
          </cell>
          <cell r="AP4753">
            <v>0</v>
          </cell>
        </row>
        <row r="4754">
          <cell r="C4754">
            <v>0</v>
          </cell>
          <cell r="N4754">
            <v>0</v>
          </cell>
          <cell r="O4754">
            <v>0</v>
          </cell>
          <cell r="AP4754">
            <v>0</v>
          </cell>
        </row>
        <row r="4755">
          <cell r="C4755">
            <v>0</v>
          </cell>
          <cell r="N4755">
            <v>0</v>
          </cell>
          <cell r="O4755">
            <v>0</v>
          </cell>
          <cell r="AP4755">
            <v>0</v>
          </cell>
        </row>
        <row r="4756">
          <cell r="C4756">
            <v>0</v>
          </cell>
          <cell r="N4756">
            <v>0</v>
          </cell>
          <cell r="O4756">
            <v>0</v>
          </cell>
          <cell r="AP4756">
            <v>0</v>
          </cell>
        </row>
        <row r="4757">
          <cell r="C4757">
            <v>0</v>
          </cell>
          <cell r="N4757">
            <v>0</v>
          </cell>
          <cell r="O4757">
            <v>0</v>
          </cell>
          <cell r="AP4757">
            <v>0</v>
          </cell>
        </row>
        <row r="4758">
          <cell r="C4758">
            <v>0</v>
          </cell>
          <cell r="N4758">
            <v>0</v>
          </cell>
          <cell r="O4758">
            <v>0</v>
          </cell>
          <cell r="AP4758">
            <v>0</v>
          </cell>
        </row>
        <row r="4759">
          <cell r="C4759">
            <v>0</v>
          </cell>
          <cell r="N4759">
            <v>0</v>
          </cell>
          <cell r="O4759">
            <v>0</v>
          </cell>
          <cell r="AP4759">
            <v>0</v>
          </cell>
        </row>
        <row r="4760">
          <cell r="C4760">
            <v>0</v>
          </cell>
          <cell r="N4760">
            <v>0</v>
          </cell>
          <cell r="O4760">
            <v>0</v>
          </cell>
          <cell r="AP4760">
            <v>0</v>
          </cell>
        </row>
        <row r="4761">
          <cell r="C4761">
            <v>0</v>
          </cell>
          <cell r="N4761">
            <v>0</v>
          </cell>
          <cell r="O4761">
            <v>0</v>
          </cell>
          <cell r="AP4761">
            <v>0</v>
          </cell>
        </row>
        <row r="4762">
          <cell r="C4762">
            <v>0</v>
          </cell>
          <cell r="N4762">
            <v>0</v>
          </cell>
          <cell r="O4762">
            <v>0</v>
          </cell>
          <cell r="AP4762">
            <v>0</v>
          </cell>
        </row>
        <row r="4763">
          <cell r="C4763">
            <v>0</v>
          </cell>
          <cell r="N4763">
            <v>0</v>
          </cell>
          <cell r="O4763">
            <v>0</v>
          </cell>
          <cell r="AP4763">
            <v>0</v>
          </cell>
        </row>
        <row r="4764">
          <cell r="C4764">
            <v>0</v>
          </cell>
          <cell r="N4764">
            <v>0</v>
          </cell>
          <cell r="O4764">
            <v>0</v>
          </cell>
          <cell r="AP4764">
            <v>0</v>
          </cell>
        </row>
        <row r="4765">
          <cell r="C4765">
            <v>0</v>
          </cell>
          <cell r="N4765">
            <v>0</v>
          </cell>
          <cell r="O4765">
            <v>0</v>
          </cell>
          <cell r="AP4765">
            <v>0</v>
          </cell>
        </row>
        <row r="4766">
          <cell r="C4766">
            <v>0</v>
          </cell>
          <cell r="N4766">
            <v>0</v>
          </cell>
          <cell r="O4766">
            <v>0</v>
          </cell>
          <cell r="AP4766">
            <v>0</v>
          </cell>
        </row>
        <row r="4767">
          <cell r="C4767">
            <v>0</v>
          </cell>
          <cell r="N4767">
            <v>0</v>
          </cell>
          <cell r="O4767">
            <v>0</v>
          </cell>
          <cell r="AP4767">
            <v>0</v>
          </cell>
        </row>
        <row r="4768">
          <cell r="C4768">
            <v>0</v>
          </cell>
          <cell r="N4768">
            <v>0</v>
          </cell>
          <cell r="O4768">
            <v>0</v>
          </cell>
          <cell r="AP4768">
            <v>0</v>
          </cell>
        </row>
        <row r="4769">
          <cell r="C4769">
            <v>0</v>
          </cell>
          <cell r="N4769">
            <v>0</v>
          </cell>
          <cell r="O4769">
            <v>0</v>
          </cell>
          <cell r="AP4769">
            <v>0</v>
          </cell>
        </row>
        <row r="4770">
          <cell r="C4770">
            <v>0</v>
          </cell>
          <cell r="N4770">
            <v>0</v>
          </cell>
          <cell r="O4770">
            <v>0</v>
          </cell>
          <cell r="AP4770">
            <v>0</v>
          </cell>
        </row>
        <row r="4771">
          <cell r="C4771">
            <v>0</v>
          </cell>
          <cell r="N4771">
            <v>0</v>
          </cell>
          <cell r="O4771">
            <v>0</v>
          </cell>
          <cell r="AP4771">
            <v>0</v>
          </cell>
        </row>
        <row r="4772">
          <cell r="C4772">
            <v>0</v>
          </cell>
          <cell r="N4772">
            <v>0</v>
          </cell>
          <cell r="O4772">
            <v>0</v>
          </cell>
          <cell r="AP4772">
            <v>0</v>
          </cell>
        </row>
        <row r="4773">
          <cell r="C4773">
            <v>0</v>
          </cell>
          <cell r="N4773">
            <v>0</v>
          </cell>
          <cell r="O4773">
            <v>0</v>
          </cell>
          <cell r="AP4773">
            <v>0</v>
          </cell>
        </row>
        <row r="4774">
          <cell r="C4774">
            <v>0</v>
          </cell>
          <cell r="N4774">
            <v>0</v>
          </cell>
          <cell r="O4774">
            <v>0</v>
          </cell>
          <cell r="AP4774">
            <v>0</v>
          </cell>
        </row>
        <row r="4775">
          <cell r="C4775">
            <v>0</v>
          </cell>
          <cell r="N4775">
            <v>0</v>
          </cell>
          <cell r="O4775">
            <v>0</v>
          </cell>
          <cell r="AP4775">
            <v>0</v>
          </cell>
        </row>
        <row r="4776">
          <cell r="C4776">
            <v>0</v>
          </cell>
          <cell r="N4776">
            <v>0</v>
          </cell>
          <cell r="O4776">
            <v>0</v>
          </cell>
          <cell r="AP4776">
            <v>0</v>
          </cell>
        </row>
        <row r="4777">
          <cell r="C4777">
            <v>0</v>
          </cell>
          <cell r="N4777">
            <v>0</v>
          </cell>
          <cell r="O4777">
            <v>0</v>
          </cell>
          <cell r="AP4777">
            <v>0</v>
          </cell>
        </row>
        <row r="4778">
          <cell r="C4778">
            <v>0</v>
          </cell>
          <cell r="N4778">
            <v>0</v>
          </cell>
          <cell r="O4778">
            <v>0</v>
          </cell>
          <cell r="AP4778">
            <v>0</v>
          </cell>
        </row>
        <row r="4779">
          <cell r="C4779">
            <v>0</v>
          </cell>
          <cell r="N4779">
            <v>0</v>
          </cell>
          <cell r="O4779">
            <v>0</v>
          </cell>
          <cell r="AP4779">
            <v>0</v>
          </cell>
        </row>
        <row r="4780">
          <cell r="C4780">
            <v>0</v>
          </cell>
          <cell r="N4780">
            <v>0</v>
          </cell>
          <cell r="O4780">
            <v>0</v>
          </cell>
          <cell r="AP4780">
            <v>0</v>
          </cell>
        </row>
        <row r="4781">
          <cell r="C4781">
            <v>0</v>
          </cell>
          <cell r="N4781">
            <v>0</v>
          </cell>
          <cell r="O4781">
            <v>0</v>
          </cell>
          <cell r="AP4781">
            <v>0</v>
          </cell>
        </row>
        <row r="4782">
          <cell r="C4782">
            <v>0</v>
          </cell>
          <cell r="N4782">
            <v>0</v>
          </cell>
          <cell r="O4782">
            <v>0</v>
          </cell>
          <cell r="AP4782">
            <v>0</v>
          </cell>
        </row>
        <row r="4783">
          <cell r="C4783">
            <v>0</v>
          </cell>
          <cell r="N4783">
            <v>0</v>
          </cell>
          <cell r="O4783">
            <v>0</v>
          </cell>
          <cell r="AP4783">
            <v>0</v>
          </cell>
        </row>
        <row r="4784">
          <cell r="C4784">
            <v>0</v>
          </cell>
          <cell r="N4784">
            <v>0</v>
          </cell>
          <cell r="O4784">
            <v>0</v>
          </cell>
          <cell r="AP4784">
            <v>0</v>
          </cell>
        </row>
        <row r="4785">
          <cell r="C4785">
            <v>0</v>
          </cell>
          <cell r="N4785">
            <v>0</v>
          </cell>
          <cell r="O4785">
            <v>0</v>
          </cell>
          <cell r="AP4785">
            <v>0</v>
          </cell>
        </row>
        <row r="4786">
          <cell r="C4786">
            <v>0</v>
          </cell>
          <cell r="N4786">
            <v>0</v>
          </cell>
          <cell r="O4786">
            <v>0</v>
          </cell>
          <cell r="AP4786">
            <v>0</v>
          </cell>
        </row>
        <row r="4787">
          <cell r="C4787">
            <v>0</v>
          </cell>
          <cell r="N4787">
            <v>0</v>
          </cell>
          <cell r="O4787">
            <v>0</v>
          </cell>
          <cell r="AP4787">
            <v>0</v>
          </cell>
        </row>
        <row r="4788">
          <cell r="C4788">
            <v>0</v>
          </cell>
          <cell r="N4788">
            <v>0</v>
          </cell>
          <cell r="O4788">
            <v>0</v>
          </cell>
          <cell r="AP4788">
            <v>0</v>
          </cell>
        </row>
        <row r="4789">
          <cell r="C4789">
            <v>0</v>
          </cell>
          <cell r="N4789">
            <v>0</v>
          </cell>
          <cell r="O4789">
            <v>0</v>
          </cell>
          <cell r="AP4789">
            <v>0</v>
          </cell>
        </row>
        <row r="4790">
          <cell r="C4790">
            <v>0</v>
          </cell>
          <cell r="N4790">
            <v>0</v>
          </cell>
          <cell r="O4790">
            <v>0</v>
          </cell>
          <cell r="AP4790">
            <v>0</v>
          </cell>
        </row>
        <row r="4791">
          <cell r="C4791">
            <v>0</v>
          </cell>
          <cell r="N4791">
            <v>0</v>
          </cell>
          <cell r="O4791">
            <v>0</v>
          </cell>
          <cell r="AP4791">
            <v>0</v>
          </cell>
        </row>
        <row r="4792">
          <cell r="C4792">
            <v>0</v>
          </cell>
          <cell r="N4792">
            <v>0</v>
          </cell>
          <cell r="O4792">
            <v>0</v>
          </cell>
          <cell r="AP4792">
            <v>0</v>
          </cell>
        </row>
        <row r="4793">
          <cell r="C4793">
            <v>0</v>
          </cell>
          <cell r="N4793">
            <v>0</v>
          </cell>
          <cell r="O4793">
            <v>0</v>
          </cell>
          <cell r="AP4793">
            <v>0</v>
          </cell>
        </row>
        <row r="4794">
          <cell r="C4794">
            <v>0</v>
          </cell>
          <cell r="N4794">
            <v>0</v>
          </cell>
          <cell r="O4794">
            <v>0</v>
          </cell>
          <cell r="AP4794">
            <v>0</v>
          </cell>
        </row>
        <row r="4795">
          <cell r="C4795">
            <v>0</v>
          </cell>
          <cell r="N4795">
            <v>0</v>
          </cell>
          <cell r="O4795">
            <v>0</v>
          </cell>
          <cell r="AP4795">
            <v>0</v>
          </cell>
        </row>
        <row r="4796">
          <cell r="C4796">
            <v>0</v>
          </cell>
          <cell r="N4796">
            <v>0</v>
          </cell>
          <cell r="O4796">
            <v>0</v>
          </cell>
          <cell r="AP4796">
            <v>0</v>
          </cell>
        </row>
        <row r="4797">
          <cell r="C4797">
            <v>0</v>
          </cell>
          <cell r="N4797">
            <v>0</v>
          </cell>
          <cell r="O4797">
            <v>0</v>
          </cell>
          <cell r="AP4797">
            <v>0</v>
          </cell>
        </row>
        <row r="4798">
          <cell r="C4798">
            <v>0</v>
          </cell>
          <cell r="N4798">
            <v>0</v>
          </cell>
          <cell r="O4798">
            <v>0</v>
          </cell>
          <cell r="AP4798">
            <v>0</v>
          </cell>
        </row>
        <row r="4799">
          <cell r="C4799">
            <v>0</v>
          </cell>
          <cell r="N4799">
            <v>0</v>
          </cell>
          <cell r="O4799">
            <v>0</v>
          </cell>
          <cell r="AP4799">
            <v>0</v>
          </cell>
        </row>
        <row r="4800">
          <cell r="C4800">
            <v>0</v>
          </cell>
          <cell r="N4800">
            <v>0</v>
          </cell>
          <cell r="O4800">
            <v>0</v>
          </cell>
          <cell r="AP4800">
            <v>0</v>
          </cell>
        </row>
        <row r="4801">
          <cell r="C4801">
            <v>0</v>
          </cell>
          <cell r="N4801">
            <v>0</v>
          </cell>
          <cell r="O4801">
            <v>0</v>
          </cell>
          <cell r="AP4801">
            <v>0</v>
          </cell>
        </row>
        <row r="4802">
          <cell r="C4802">
            <v>0</v>
          </cell>
          <cell r="N4802">
            <v>0</v>
          </cell>
          <cell r="O4802">
            <v>0</v>
          </cell>
          <cell r="AP4802">
            <v>0</v>
          </cell>
        </row>
        <row r="4803">
          <cell r="C4803">
            <v>0</v>
          </cell>
          <cell r="N4803">
            <v>0</v>
          </cell>
          <cell r="O4803">
            <v>0</v>
          </cell>
          <cell r="AP4803">
            <v>0</v>
          </cell>
        </row>
        <row r="4804">
          <cell r="C4804">
            <v>0</v>
          </cell>
          <cell r="N4804">
            <v>0</v>
          </cell>
          <cell r="O4804">
            <v>0</v>
          </cell>
          <cell r="AP4804">
            <v>0</v>
          </cell>
        </row>
        <row r="4805">
          <cell r="C4805">
            <v>0</v>
          </cell>
          <cell r="N4805">
            <v>0</v>
          </cell>
          <cell r="O4805">
            <v>0</v>
          </cell>
          <cell r="AP4805">
            <v>0</v>
          </cell>
        </row>
        <row r="4806">
          <cell r="C4806">
            <v>0</v>
          </cell>
          <cell r="N4806">
            <v>0</v>
          </cell>
          <cell r="O4806">
            <v>0</v>
          </cell>
          <cell r="AP4806">
            <v>0</v>
          </cell>
        </row>
        <row r="4807">
          <cell r="C4807">
            <v>0</v>
          </cell>
          <cell r="N4807">
            <v>0</v>
          </cell>
          <cell r="O4807">
            <v>0</v>
          </cell>
          <cell r="AP4807">
            <v>0</v>
          </cell>
        </row>
        <row r="4808">
          <cell r="C4808">
            <v>0</v>
          </cell>
          <cell r="N4808">
            <v>0</v>
          </cell>
          <cell r="O4808">
            <v>0</v>
          </cell>
          <cell r="AP4808">
            <v>0</v>
          </cell>
        </row>
        <row r="4809">
          <cell r="C4809">
            <v>0</v>
          </cell>
          <cell r="N4809">
            <v>0</v>
          </cell>
          <cell r="O4809">
            <v>0</v>
          </cell>
          <cell r="AP4809">
            <v>0</v>
          </cell>
        </row>
        <row r="4810">
          <cell r="C4810">
            <v>0</v>
          </cell>
          <cell r="N4810">
            <v>0</v>
          </cell>
          <cell r="O4810">
            <v>0</v>
          </cell>
          <cell r="AP4810">
            <v>0</v>
          </cell>
        </row>
        <row r="4811">
          <cell r="C4811">
            <v>0</v>
          </cell>
          <cell r="N4811">
            <v>0</v>
          </cell>
          <cell r="O4811">
            <v>0</v>
          </cell>
          <cell r="AP4811">
            <v>0</v>
          </cell>
        </row>
        <row r="4812">
          <cell r="C4812">
            <v>0</v>
          </cell>
          <cell r="N4812">
            <v>0</v>
          </cell>
          <cell r="O4812">
            <v>0</v>
          </cell>
          <cell r="AP4812">
            <v>0</v>
          </cell>
        </row>
        <row r="4813">
          <cell r="C4813">
            <v>0</v>
          </cell>
          <cell r="N4813">
            <v>0</v>
          </cell>
          <cell r="O4813">
            <v>0</v>
          </cell>
          <cell r="AP4813">
            <v>0</v>
          </cell>
        </row>
        <row r="4814">
          <cell r="C4814">
            <v>0</v>
          </cell>
          <cell r="N4814">
            <v>0</v>
          </cell>
          <cell r="O4814">
            <v>0</v>
          </cell>
          <cell r="AP4814">
            <v>0</v>
          </cell>
        </row>
        <row r="4815">
          <cell r="C4815">
            <v>0</v>
          </cell>
          <cell r="N4815">
            <v>0</v>
          </cell>
          <cell r="O4815">
            <v>0</v>
          </cell>
          <cell r="AP4815">
            <v>0</v>
          </cell>
        </row>
        <row r="4816">
          <cell r="C4816">
            <v>0</v>
          </cell>
          <cell r="N4816">
            <v>0</v>
          </cell>
          <cell r="O4816">
            <v>0</v>
          </cell>
          <cell r="AP4816">
            <v>0</v>
          </cell>
        </row>
        <row r="4817">
          <cell r="C4817">
            <v>0</v>
          </cell>
          <cell r="N4817">
            <v>0</v>
          </cell>
          <cell r="O4817">
            <v>0</v>
          </cell>
          <cell r="AP4817">
            <v>0</v>
          </cell>
        </row>
        <row r="4818">
          <cell r="C4818">
            <v>0</v>
          </cell>
          <cell r="N4818">
            <v>0</v>
          </cell>
          <cell r="O4818">
            <v>0</v>
          </cell>
          <cell r="AP4818">
            <v>0</v>
          </cell>
        </row>
        <row r="4819">
          <cell r="C4819">
            <v>0</v>
          </cell>
          <cell r="N4819">
            <v>0</v>
          </cell>
          <cell r="O4819">
            <v>0</v>
          </cell>
          <cell r="AP4819">
            <v>0</v>
          </cell>
        </row>
        <row r="4820">
          <cell r="C4820">
            <v>0</v>
          </cell>
          <cell r="N4820">
            <v>0</v>
          </cell>
          <cell r="O4820">
            <v>0</v>
          </cell>
          <cell r="AP4820">
            <v>0</v>
          </cell>
        </row>
        <row r="4821">
          <cell r="C4821">
            <v>0</v>
          </cell>
          <cell r="N4821">
            <v>0</v>
          </cell>
          <cell r="O4821">
            <v>0</v>
          </cell>
          <cell r="AP4821">
            <v>0</v>
          </cell>
        </row>
        <row r="4822">
          <cell r="C4822">
            <v>0</v>
          </cell>
          <cell r="N4822">
            <v>0</v>
          </cell>
          <cell r="O4822">
            <v>0</v>
          </cell>
          <cell r="AP4822">
            <v>0</v>
          </cell>
        </row>
        <row r="4823">
          <cell r="C4823">
            <v>0</v>
          </cell>
          <cell r="N4823">
            <v>0</v>
          </cell>
          <cell r="O4823">
            <v>0</v>
          </cell>
          <cell r="AP4823">
            <v>0</v>
          </cell>
        </row>
        <row r="4824">
          <cell r="C4824">
            <v>0</v>
          </cell>
          <cell r="N4824">
            <v>0</v>
          </cell>
          <cell r="O4824">
            <v>0</v>
          </cell>
          <cell r="AP4824">
            <v>0</v>
          </cell>
        </row>
        <row r="4825">
          <cell r="C4825">
            <v>0</v>
          </cell>
          <cell r="N4825">
            <v>0</v>
          </cell>
          <cell r="O4825">
            <v>0</v>
          </cell>
          <cell r="AP4825">
            <v>0</v>
          </cell>
        </row>
        <row r="4826">
          <cell r="C4826">
            <v>0</v>
          </cell>
          <cell r="N4826">
            <v>0</v>
          </cell>
          <cell r="O4826">
            <v>0</v>
          </cell>
          <cell r="AP4826">
            <v>0</v>
          </cell>
        </row>
        <row r="4827">
          <cell r="C4827">
            <v>0</v>
          </cell>
          <cell r="N4827">
            <v>0</v>
          </cell>
          <cell r="O4827">
            <v>0</v>
          </cell>
          <cell r="AP4827">
            <v>0</v>
          </cell>
        </row>
        <row r="4828">
          <cell r="C4828">
            <v>0</v>
          </cell>
          <cell r="N4828">
            <v>0</v>
          </cell>
          <cell r="O4828">
            <v>0</v>
          </cell>
          <cell r="AP4828">
            <v>0</v>
          </cell>
        </row>
        <row r="4829">
          <cell r="C4829">
            <v>0</v>
          </cell>
          <cell r="N4829">
            <v>0</v>
          </cell>
          <cell r="O4829">
            <v>0</v>
          </cell>
          <cell r="AP4829">
            <v>0</v>
          </cell>
        </row>
        <row r="4830">
          <cell r="C4830">
            <v>0</v>
          </cell>
          <cell r="N4830">
            <v>0</v>
          </cell>
          <cell r="O4830">
            <v>0</v>
          </cell>
          <cell r="AP4830">
            <v>0</v>
          </cell>
        </row>
        <row r="4831">
          <cell r="C4831">
            <v>0</v>
          </cell>
          <cell r="N4831">
            <v>0</v>
          </cell>
          <cell r="O4831">
            <v>0</v>
          </cell>
          <cell r="AP4831">
            <v>0</v>
          </cell>
        </row>
        <row r="4832">
          <cell r="C4832">
            <v>0</v>
          </cell>
          <cell r="N4832">
            <v>0</v>
          </cell>
          <cell r="O4832">
            <v>0</v>
          </cell>
          <cell r="AP4832">
            <v>0</v>
          </cell>
        </row>
        <row r="4833">
          <cell r="C4833">
            <v>0</v>
          </cell>
          <cell r="N4833">
            <v>0</v>
          </cell>
          <cell r="O4833">
            <v>0</v>
          </cell>
          <cell r="AP4833">
            <v>0</v>
          </cell>
        </row>
        <row r="4834">
          <cell r="C4834">
            <v>0</v>
          </cell>
          <cell r="N4834">
            <v>0</v>
          </cell>
          <cell r="O4834">
            <v>0</v>
          </cell>
          <cell r="AP4834">
            <v>0</v>
          </cell>
        </row>
        <row r="4835">
          <cell r="C4835">
            <v>0</v>
          </cell>
          <cell r="N4835">
            <v>0</v>
          </cell>
          <cell r="O4835">
            <v>0</v>
          </cell>
          <cell r="AP4835">
            <v>0</v>
          </cell>
        </row>
        <row r="4836">
          <cell r="C4836">
            <v>0</v>
          </cell>
          <cell r="N4836">
            <v>0</v>
          </cell>
          <cell r="O4836">
            <v>0</v>
          </cell>
          <cell r="AP4836">
            <v>0</v>
          </cell>
        </row>
        <row r="4837">
          <cell r="C4837">
            <v>0</v>
          </cell>
          <cell r="N4837">
            <v>0</v>
          </cell>
          <cell r="O4837">
            <v>0</v>
          </cell>
          <cell r="AP4837">
            <v>0</v>
          </cell>
        </row>
        <row r="4838">
          <cell r="C4838">
            <v>0</v>
          </cell>
          <cell r="N4838">
            <v>0</v>
          </cell>
          <cell r="O4838">
            <v>0</v>
          </cell>
          <cell r="AP4838">
            <v>0</v>
          </cell>
        </row>
        <row r="4839">
          <cell r="C4839">
            <v>0</v>
          </cell>
          <cell r="N4839">
            <v>0</v>
          </cell>
          <cell r="O4839">
            <v>0</v>
          </cell>
          <cell r="AP4839">
            <v>0</v>
          </cell>
        </row>
        <row r="4840">
          <cell r="C4840">
            <v>0</v>
          </cell>
          <cell r="N4840">
            <v>0</v>
          </cell>
          <cell r="O4840">
            <v>0</v>
          </cell>
          <cell r="AP4840">
            <v>0</v>
          </cell>
        </row>
        <row r="4841">
          <cell r="C4841">
            <v>0</v>
          </cell>
          <cell r="N4841">
            <v>0</v>
          </cell>
          <cell r="O4841">
            <v>0</v>
          </cell>
          <cell r="AP4841">
            <v>0</v>
          </cell>
        </row>
        <row r="4842">
          <cell r="C4842">
            <v>0</v>
          </cell>
          <cell r="N4842">
            <v>0</v>
          </cell>
          <cell r="O4842">
            <v>0</v>
          </cell>
          <cell r="AP4842">
            <v>0</v>
          </cell>
        </row>
        <row r="4843">
          <cell r="C4843">
            <v>0</v>
          </cell>
          <cell r="N4843">
            <v>0</v>
          </cell>
          <cell r="O4843">
            <v>0</v>
          </cell>
          <cell r="AP4843">
            <v>0</v>
          </cell>
        </row>
        <row r="4844">
          <cell r="C4844">
            <v>0</v>
          </cell>
          <cell r="N4844">
            <v>0</v>
          </cell>
          <cell r="O4844">
            <v>0</v>
          </cell>
          <cell r="AP4844">
            <v>0</v>
          </cell>
        </row>
        <row r="4845">
          <cell r="C4845">
            <v>0</v>
          </cell>
          <cell r="N4845">
            <v>0</v>
          </cell>
          <cell r="O4845">
            <v>0</v>
          </cell>
          <cell r="AP4845">
            <v>0</v>
          </cell>
        </row>
        <row r="4846">
          <cell r="C4846">
            <v>0</v>
          </cell>
          <cell r="N4846">
            <v>0</v>
          </cell>
          <cell r="O4846">
            <v>0</v>
          </cell>
          <cell r="AP4846">
            <v>0</v>
          </cell>
        </row>
        <row r="4847">
          <cell r="C4847">
            <v>0</v>
          </cell>
          <cell r="N4847">
            <v>0</v>
          </cell>
          <cell r="O4847">
            <v>0</v>
          </cell>
          <cell r="AP4847">
            <v>0</v>
          </cell>
        </row>
        <row r="4848">
          <cell r="C4848">
            <v>0</v>
          </cell>
          <cell r="N4848">
            <v>0</v>
          </cell>
          <cell r="O4848">
            <v>0</v>
          </cell>
          <cell r="AP4848">
            <v>0</v>
          </cell>
        </row>
        <row r="4849">
          <cell r="C4849">
            <v>0</v>
          </cell>
          <cell r="N4849">
            <v>0</v>
          </cell>
          <cell r="O4849">
            <v>0</v>
          </cell>
          <cell r="AP4849">
            <v>0</v>
          </cell>
        </row>
        <row r="4850">
          <cell r="C4850">
            <v>0</v>
          </cell>
          <cell r="N4850">
            <v>0</v>
          </cell>
          <cell r="O4850">
            <v>0</v>
          </cell>
          <cell r="AP4850">
            <v>0</v>
          </cell>
        </row>
        <row r="4851">
          <cell r="C4851">
            <v>0</v>
          </cell>
          <cell r="N4851">
            <v>0</v>
          </cell>
          <cell r="O4851">
            <v>0</v>
          </cell>
          <cell r="AP4851">
            <v>0</v>
          </cell>
        </row>
        <row r="4852">
          <cell r="C4852">
            <v>0</v>
          </cell>
          <cell r="N4852">
            <v>0</v>
          </cell>
          <cell r="O4852">
            <v>0</v>
          </cell>
          <cell r="AP4852">
            <v>0</v>
          </cell>
        </row>
        <row r="4853">
          <cell r="C4853">
            <v>0</v>
          </cell>
          <cell r="N4853">
            <v>0</v>
          </cell>
          <cell r="O4853">
            <v>0</v>
          </cell>
          <cell r="AP4853">
            <v>0</v>
          </cell>
        </row>
        <row r="4854">
          <cell r="C4854">
            <v>0</v>
          </cell>
          <cell r="N4854">
            <v>0</v>
          </cell>
          <cell r="O4854">
            <v>0</v>
          </cell>
          <cell r="AP4854">
            <v>0</v>
          </cell>
        </row>
        <row r="4855">
          <cell r="C4855">
            <v>0</v>
          </cell>
          <cell r="N4855">
            <v>0</v>
          </cell>
          <cell r="O4855">
            <v>0</v>
          </cell>
          <cell r="AP4855">
            <v>0</v>
          </cell>
        </row>
        <row r="4856">
          <cell r="C4856">
            <v>0</v>
          </cell>
          <cell r="N4856">
            <v>0</v>
          </cell>
          <cell r="O4856">
            <v>0</v>
          </cell>
          <cell r="AP4856">
            <v>0</v>
          </cell>
        </row>
        <row r="4857">
          <cell r="C4857">
            <v>0</v>
          </cell>
          <cell r="N4857">
            <v>0</v>
          </cell>
          <cell r="O4857">
            <v>0</v>
          </cell>
          <cell r="AP4857">
            <v>0</v>
          </cell>
        </row>
        <row r="4858">
          <cell r="C4858">
            <v>0</v>
          </cell>
          <cell r="N4858">
            <v>0</v>
          </cell>
          <cell r="O4858">
            <v>0</v>
          </cell>
          <cell r="AP4858">
            <v>0</v>
          </cell>
        </row>
        <row r="4859">
          <cell r="C4859">
            <v>0</v>
          </cell>
          <cell r="N4859">
            <v>0</v>
          </cell>
          <cell r="O4859">
            <v>0</v>
          </cell>
          <cell r="AP4859">
            <v>0</v>
          </cell>
        </row>
        <row r="4860">
          <cell r="C4860">
            <v>0</v>
          </cell>
          <cell r="N4860">
            <v>0</v>
          </cell>
          <cell r="O4860">
            <v>0</v>
          </cell>
          <cell r="AP4860">
            <v>0</v>
          </cell>
        </row>
        <row r="4861">
          <cell r="C4861">
            <v>0</v>
          </cell>
          <cell r="N4861">
            <v>0</v>
          </cell>
          <cell r="O4861">
            <v>0</v>
          </cell>
          <cell r="AP4861">
            <v>0</v>
          </cell>
        </row>
        <row r="4862">
          <cell r="C4862">
            <v>0</v>
          </cell>
          <cell r="N4862">
            <v>0</v>
          </cell>
          <cell r="O4862">
            <v>0</v>
          </cell>
          <cell r="AP4862">
            <v>0</v>
          </cell>
        </row>
        <row r="4863">
          <cell r="C4863">
            <v>0</v>
          </cell>
          <cell r="N4863">
            <v>0</v>
          </cell>
          <cell r="O4863">
            <v>0</v>
          </cell>
          <cell r="AP4863">
            <v>0</v>
          </cell>
        </row>
        <row r="4864">
          <cell r="C4864">
            <v>0</v>
          </cell>
          <cell r="N4864">
            <v>0</v>
          </cell>
          <cell r="O4864">
            <v>0</v>
          </cell>
          <cell r="AP4864">
            <v>0</v>
          </cell>
        </row>
        <row r="4865">
          <cell r="C4865">
            <v>0</v>
          </cell>
          <cell r="N4865">
            <v>0</v>
          </cell>
          <cell r="O4865">
            <v>0</v>
          </cell>
          <cell r="AP4865">
            <v>0</v>
          </cell>
        </row>
        <row r="4866">
          <cell r="C4866">
            <v>0</v>
          </cell>
          <cell r="N4866">
            <v>0</v>
          </cell>
          <cell r="O4866">
            <v>0</v>
          </cell>
          <cell r="AP4866">
            <v>0</v>
          </cell>
        </row>
        <row r="4867">
          <cell r="C4867">
            <v>0</v>
          </cell>
          <cell r="N4867">
            <v>0</v>
          </cell>
          <cell r="O4867">
            <v>0</v>
          </cell>
          <cell r="AP4867">
            <v>0</v>
          </cell>
        </row>
        <row r="4868">
          <cell r="C4868">
            <v>0</v>
          </cell>
          <cell r="N4868">
            <v>0</v>
          </cell>
          <cell r="O4868">
            <v>0</v>
          </cell>
          <cell r="AP4868">
            <v>0</v>
          </cell>
        </row>
        <row r="4869">
          <cell r="C4869">
            <v>0</v>
          </cell>
          <cell r="N4869">
            <v>0</v>
          </cell>
          <cell r="O4869">
            <v>0</v>
          </cell>
          <cell r="AP4869">
            <v>0</v>
          </cell>
        </row>
        <row r="4870">
          <cell r="C4870">
            <v>0</v>
          </cell>
          <cell r="N4870">
            <v>0</v>
          </cell>
          <cell r="O4870">
            <v>0</v>
          </cell>
          <cell r="AP4870">
            <v>0</v>
          </cell>
        </row>
        <row r="4871">
          <cell r="C4871">
            <v>0</v>
          </cell>
          <cell r="N4871">
            <v>0</v>
          </cell>
          <cell r="O4871">
            <v>0</v>
          </cell>
          <cell r="AP4871">
            <v>0</v>
          </cell>
        </row>
        <row r="4872">
          <cell r="C4872">
            <v>0</v>
          </cell>
          <cell r="N4872">
            <v>0</v>
          </cell>
          <cell r="O4872">
            <v>0</v>
          </cell>
          <cell r="AP4872">
            <v>0</v>
          </cell>
        </row>
        <row r="4873">
          <cell r="C4873">
            <v>0</v>
          </cell>
          <cell r="N4873">
            <v>0</v>
          </cell>
          <cell r="O4873">
            <v>0</v>
          </cell>
          <cell r="AP4873">
            <v>0</v>
          </cell>
        </row>
        <row r="4874">
          <cell r="C4874">
            <v>0</v>
          </cell>
          <cell r="N4874">
            <v>0</v>
          </cell>
          <cell r="O4874">
            <v>0</v>
          </cell>
          <cell r="AP4874">
            <v>0</v>
          </cell>
        </row>
        <row r="4875">
          <cell r="C4875">
            <v>0</v>
          </cell>
          <cell r="N4875">
            <v>0</v>
          </cell>
          <cell r="O4875">
            <v>0</v>
          </cell>
          <cell r="AP4875">
            <v>0</v>
          </cell>
        </row>
        <row r="4876">
          <cell r="C4876">
            <v>0</v>
          </cell>
          <cell r="N4876">
            <v>0</v>
          </cell>
          <cell r="O4876">
            <v>0</v>
          </cell>
          <cell r="AP4876">
            <v>0</v>
          </cell>
        </row>
        <row r="4877">
          <cell r="C4877">
            <v>0</v>
          </cell>
          <cell r="N4877">
            <v>0</v>
          </cell>
          <cell r="O4877">
            <v>0</v>
          </cell>
          <cell r="AP4877">
            <v>0</v>
          </cell>
        </row>
        <row r="4878">
          <cell r="C4878">
            <v>0</v>
          </cell>
          <cell r="N4878">
            <v>0</v>
          </cell>
          <cell r="O4878">
            <v>0</v>
          </cell>
          <cell r="AP4878">
            <v>0</v>
          </cell>
        </row>
        <row r="4879">
          <cell r="C4879">
            <v>0</v>
          </cell>
          <cell r="N4879">
            <v>0</v>
          </cell>
          <cell r="O4879">
            <v>0</v>
          </cell>
          <cell r="AP4879">
            <v>0</v>
          </cell>
        </row>
        <row r="4880">
          <cell r="C4880">
            <v>0</v>
          </cell>
          <cell r="N4880">
            <v>0</v>
          </cell>
          <cell r="O4880">
            <v>0</v>
          </cell>
          <cell r="AP4880">
            <v>0</v>
          </cell>
        </row>
        <row r="4881">
          <cell r="C4881">
            <v>0</v>
          </cell>
          <cell r="N4881">
            <v>0</v>
          </cell>
          <cell r="O4881">
            <v>0</v>
          </cell>
          <cell r="AP4881">
            <v>0</v>
          </cell>
        </row>
        <row r="4882">
          <cell r="C4882">
            <v>0</v>
          </cell>
          <cell r="N4882">
            <v>0</v>
          </cell>
          <cell r="O4882">
            <v>0</v>
          </cell>
          <cell r="AP4882">
            <v>0</v>
          </cell>
        </row>
        <row r="4883">
          <cell r="C4883">
            <v>0</v>
          </cell>
          <cell r="N4883">
            <v>0</v>
          </cell>
          <cell r="O4883">
            <v>0</v>
          </cell>
          <cell r="AP4883">
            <v>0</v>
          </cell>
        </row>
        <row r="4884">
          <cell r="C4884">
            <v>0</v>
          </cell>
          <cell r="N4884">
            <v>0</v>
          </cell>
          <cell r="O4884">
            <v>0</v>
          </cell>
          <cell r="AP4884">
            <v>0</v>
          </cell>
        </row>
        <row r="4885">
          <cell r="C4885">
            <v>0</v>
          </cell>
          <cell r="N4885">
            <v>0</v>
          </cell>
          <cell r="O4885">
            <v>0</v>
          </cell>
          <cell r="AP4885">
            <v>0</v>
          </cell>
        </row>
        <row r="4886">
          <cell r="C4886">
            <v>0</v>
          </cell>
          <cell r="N4886">
            <v>0</v>
          </cell>
          <cell r="O4886">
            <v>0</v>
          </cell>
          <cell r="AP4886">
            <v>0</v>
          </cell>
        </row>
        <row r="4887">
          <cell r="C4887">
            <v>0</v>
          </cell>
          <cell r="N4887">
            <v>0</v>
          </cell>
          <cell r="O4887">
            <v>0</v>
          </cell>
          <cell r="AP4887">
            <v>0</v>
          </cell>
        </row>
        <row r="4888">
          <cell r="C4888">
            <v>0</v>
          </cell>
          <cell r="N4888">
            <v>0</v>
          </cell>
          <cell r="O4888">
            <v>0</v>
          </cell>
          <cell r="AP4888">
            <v>0</v>
          </cell>
        </row>
        <row r="4889">
          <cell r="C4889">
            <v>0</v>
          </cell>
          <cell r="N4889">
            <v>0</v>
          </cell>
          <cell r="O4889">
            <v>0</v>
          </cell>
          <cell r="AP4889">
            <v>0</v>
          </cell>
        </row>
        <row r="4890">
          <cell r="C4890">
            <v>0</v>
          </cell>
          <cell r="N4890">
            <v>0</v>
          </cell>
          <cell r="O4890">
            <v>0</v>
          </cell>
          <cell r="AP4890">
            <v>0</v>
          </cell>
        </row>
        <row r="4891">
          <cell r="C4891">
            <v>0</v>
          </cell>
          <cell r="N4891">
            <v>0</v>
          </cell>
          <cell r="O4891">
            <v>0</v>
          </cell>
          <cell r="AP4891">
            <v>0</v>
          </cell>
        </row>
        <row r="4892">
          <cell r="C4892">
            <v>0</v>
          </cell>
          <cell r="N4892">
            <v>0</v>
          </cell>
          <cell r="O4892">
            <v>0</v>
          </cell>
          <cell r="AP4892">
            <v>0</v>
          </cell>
        </row>
        <row r="4893">
          <cell r="C4893">
            <v>0</v>
          </cell>
          <cell r="N4893">
            <v>0</v>
          </cell>
          <cell r="O4893">
            <v>0</v>
          </cell>
          <cell r="AP4893">
            <v>0</v>
          </cell>
        </row>
        <row r="4894">
          <cell r="C4894">
            <v>0</v>
          </cell>
          <cell r="N4894">
            <v>0</v>
          </cell>
          <cell r="O4894">
            <v>0</v>
          </cell>
          <cell r="AP4894">
            <v>0</v>
          </cell>
        </row>
        <row r="4895">
          <cell r="C4895">
            <v>0</v>
          </cell>
          <cell r="N4895">
            <v>0</v>
          </cell>
          <cell r="O4895">
            <v>0</v>
          </cell>
          <cell r="AP4895">
            <v>0</v>
          </cell>
        </row>
        <row r="4896">
          <cell r="C4896">
            <v>0</v>
          </cell>
          <cell r="N4896">
            <v>0</v>
          </cell>
          <cell r="O4896">
            <v>0</v>
          </cell>
          <cell r="AP4896">
            <v>0</v>
          </cell>
        </row>
        <row r="4897">
          <cell r="C4897">
            <v>0</v>
          </cell>
          <cell r="N4897">
            <v>0</v>
          </cell>
          <cell r="O4897">
            <v>0</v>
          </cell>
          <cell r="AP4897">
            <v>0</v>
          </cell>
        </row>
        <row r="4898">
          <cell r="C4898">
            <v>0</v>
          </cell>
          <cell r="N4898">
            <v>0</v>
          </cell>
          <cell r="O4898">
            <v>0</v>
          </cell>
          <cell r="AP4898">
            <v>0</v>
          </cell>
        </row>
        <row r="4899">
          <cell r="C4899">
            <v>0</v>
          </cell>
          <cell r="N4899">
            <v>0</v>
          </cell>
          <cell r="O4899">
            <v>0</v>
          </cell>
          <cell r="AP4899">
            <v>0</v>
          </cell>
        </row>
        <row r="4900">
          <cell r="C4900">
            <v>0</v>
          </cell>
          <cell r="N4900">
            <v>0</v>
          </cell>
          <cell r="O4900">
            <v>0</v>
          </cell>
          <cell r="AP4900">
            <v>0</v>
          </cell>
        </row>
        <row r="4901">
          <cell r="C4901">
            <v>0</v>
          </cell>
          <cell r="N4901">
            <v>0</v>
          </cell>
          <cell r="O4901">
            <v>0</v>
          </cell>
          <cell r="AP4901">
            <v>0</v>
          </cell>
        </row>
        <row r="4902">
          <cell r="C4902">
            <v>0</v>
          </cell>
          <cell r="N4902">
            <v>0</v>
          </cell>
          <cell r="O4902">
            <v>0</v>
          </cell>
          <cell r="AP4902">
            <v>0</v>
          </cell>
        </row>
        <row r="4903">
          <cell r="C4903">
            <v>0</v>
          </cell>
          <cell r="N4903">
            <v>0</v>
          </cell>
          <cell r="O4903">
            <v>0</v>
          </cell>
          <cell r="AP4903">
            <v>0</v>
          </cell>
        </row>
        <row r="4904">
          <cell r="C4904">
            <v>0</v>
          </cell>
          <cell r="N4904">
            <v>0</v>
          </cell>
          <cell r="O4904">
            <v>0</v>
          </cell>
          <cell r="AP4904">
            <v>0</v>
          </cell>
        </row>
        <row r="4905">
          <cell r="C4905">
            <v>0</v>
          </cell>
          <cell r="N4905">
            <v>0</v>
          </cell>
          <cell r="O4905">
            <v>0</v>
          </cell>
          <cell r="AP4905">
            <v>0</v>
          </cell>
        </row>
        <row r="4906">
          <cell r="C4906">
            <v>0</v>
          </cell>
          <cell r="N4906">
            <v>0</v>
          </cell>
          <cell r="O4906">
            <v>0</v>
          </cell>
          <cell r="AP4906">
            <v>0</v>
          </cell>
        </row>
        <row r="4907">
          <cell r="C4907">
            <v>0</v>
          </cell>
          <cell r="N4907">
            <v>0</v>
          </cell>
          <cell r="O4907">
            <v>0</v>
          </cell>
          <cell r="AP4907">
            <v>0</v>
          </cell>
        </row>
        <row r="4908">
          <cell r="C4908">
            <v>0</v>
          </cell>
          <cell r="N4908">
            <v>0</v>
          </cell>
          <cell r="O4908">
            <v>0</v>
          </cell>
          <cell r="AP4908">
            <v>0</v>
          </cell>
        </row>
        <row r="4909">
          <cell r="C4909">
            <v>0</v>
          </cell>
          <cell r="N4909">
            <v>0</v>
          </cell>
          <cell r="O4909">
            <v>0</v>
          </cell>
          <cell r="AP4909">
            <v>0</v>
          </cell>
        </row>
        <row r="4910">
          <cell r="C4910">
            <v>0</v>
          </cell>
          <cell r="N4910">
            <v>0</v>
          </cell>
          <cell r="O4910">
            <v>0</v>
          </cell>
          <cell r="AP4910">
            <v>0</v>
          </cell>
        </row>
        <row r="4911">
          <cell r="C4911">
            <v>0</v>
          </cell>
          <cell r="N4911">
            <v>0</v>
          </cell>
          <cell r="O4911">
            <v>0</v>
          </cell>
          <cell r="AP4911">
            <v>0</v>
          </cell>
        </row>
        <row r="4912">
          <cell r="C4912">
            <v>0</v>
          </cell>
          <cell r="N4912">
            <v>0</v>
          </cell>
          <cell r="O4912">
            <v>0</v>
          </cell>
          <cell r="AP4912">
            <v>0</v>
          </cell>
        </row>
        <row r="4913">
          <cell r="C4913">
            <v>0</v>
          </cell>
          <cell r="N4913">
            <v>0</v>
          </cell>
          <cell r="O4913">
            <v>0</v>
          </cell>
          <cell r="AP4913">
            <v>0</v>
          </cell>
        </row>
        <row r="4914">
          <cell r="C4914">
            <v>0</v>
          </cell>
          <cell r="N4914">
            <v>0</v>
          </cell>
          <cell r="O4914">
            <v>0</v>
          </cell>
          <cell r="AP4914">
            <v>0</v>
          </cell>
        </row>
        <row r="4915">
          <cell r="C4915">
            <v>0</v>
          </cell>
          <cell r="N4915">
            <v>0</v>
          </cell>
          <cell r="O4915">
            <v>0</v>
          </cell>
          <cell r="AP4915">
            <v>0</v>
          </cell>
        </row>
        <row r="4916">
          <cell r="C4916">
            <v>0</v>
          </cell>
          <cell r="N4916">
            <v>0</v>
          </cell>
          <cell r="O4916">
            <v>0</v>
          </cell>
          <cell r="AP4916">
            <v>0</v>
          </cell>
        </row>
        <row r="4917">
          <cell r="C4917">
            <v>0</v>
          </cell>
          <cell r="N4917">
            <v>0</v>
          </cell>
          <cell r="O4917">
            <v>0</v>
          </cell>
          <cell r="AP4917">
            <v>0</v>
          </cell>
        </row>
        <row r="4918">
          <cell r="C4918">
            <v>0</v>
          </cell>
          <cell r="N4918">
            <v>0</v>
          </cell>
          <cell r="O4918">
            <v>0</v>
          </cell>
          <cell r="AP4918">
            <v>0</v>
          </cell>
        </row>
        <row r="4919">
          <cell r="C4919">
            <v>0</v>
          </cell>
          <cell r="N4919">
            <v>0</v>
          </cell>
          <cell r="O4919">
            <v>0</v>
          </cell>
          <cell r="AP4919">
            <v>0</v>
          </cell>
        </row>
        <row r="4920">
          <cell r="C4920">
            <v>0</v>
          </cell>
          <cell r="N4920">
            <v>0</v>
          </cell>
          <cell r="O4920">
            <v>0</v>
          </cell>
          <cell r="AP4920">
            <v>0</v>
          </cell>
        </row>
        <row r="4921">
          <cell r="C4921">
            <v>0</v>
          </cell>
          <cell r="N4921">
            <v>0</v>
          </cell>
          <cell r="O4921">
            <v>0</v>
          </cell>
          <cell r="AP4921">
            <v>0</v>
          </cell>
        </row>
        <row r="4922">
          <cell r="C4922">
            <v>0</v>
          </cell>
          <cell r="N4922">
            <v>0</v>
          </cell>
          <cell r="O4922">
            <v>0</v>
          </cell>
          <cell r="AP4922">
            <v>0</v>
          </cell>
        </row>
        <row r="4923">
          <cell r="C4923">
            <v>0</v>
          </cell>
          <cell r="N4923">
            <v>0</v>
          </cell>
          <cell r="O4923">
            <v>0</v>
          </cell>
          <cell r="AP4923">
            <v>0</v>
          </cell>
        </row>
        <row r="4924">
          <cell r="C4924">
            <v>0</v>
          </cell>
          <cell r="N4924">
            <v>0</v>
          </cell>
          <cell r="O4924">
            <v>0</v>
          </cell>
          <cell r="AP4924">
            <v>0</v>
          </cell>
        </row>
        <row r="4925">
          <cell r="C4925">
            <v>0</v>
          </cell>
          <cell r="N4925">
            <v>0</v>
          </cell>
          <cell r="O4925">
            <v>0</v>
          </cell>
          <cell r="AP4925">
            <v>0</v>
          </cell>
        </row>
        <row r="4926">
          <cell r="C4926">
            <v>0</v>
          </cell>
          <cell r="N4926">
            <v>0</v>
          </cell>
          <cell r="O4926">
            <v>0</v>
          </cell>
          <cell r="AP4926">
            <v>0</v>
          </cell>
        </row>
        <row r="4927">
          <cell r="C4927">
            <v>0</v>
          </cell>
          <cell r="N4927">
            <v>0</v>
          </cell>
          <cell r="O4927">
            <v>0</v>
          </cell>
          <cell r="AP4927">
            <v>0</v>
          </cell>
        </row>
        <row r="4928">
          <cell r="C4928">
            <v>0</v>
          </cell>
          <cell r="N4928">
            <v>0</v>
          </cell>
          <cell r="O4928">
            <v>0</v>
          </cell>
          <cell r="AP4928">
            <v>0</v>
          </cell>
        </row>
        <row r="4929">
          <cell r="C4929">
            <v>0</v>
          </cell>
          <cell r="N4929">
            <v>0</v>
          </cell>
          <cell r="O4929">
            <v>0</v>
          </cell>
          <cell r="AP4929">
            <v>0</v>
          </cell>
        </row>
        <row r="4930">
          <cell r="C4930">
            <v>0</v>
          </cell>
          <cell r="N4930">
            <v>0</v>
          </cell>
          <cell r="O4930">
            <v>0</v>
          </cell>
          <cell r="AP4930">
            <v>0</v>
          </cell>
        </row>
        <row r="4931">
          <cell r="C4931">
            <v>0</v>
          </cell>
          <cell r="N4931">
            <v>0</v>
          </cell>
          <cell r="O4931">
            <v>0</v>
          </cell>
          <cell r="AP4931">
            <v>0</v>
          </cell>
        </row>
        <row r="4932">
          <cell r="C4932">
            <v>0</v>
          </cell>
          <cell r="N4932">
            <v>0</v>
          </cell>
          <cell r="O4932">
            <v>0</v>
          </cell>
          <cell r="AP4932">
            <v>0</v>
          </cell>
        </row>
        <row r="4933">
          <cell r="C4933">
            <v>0</v>
          </cell>
          <cell r="N4933">
            <v>0</v>
          </cell>
          <cell r="O4933">
            <v>0</v>
          </cell>
          <cell r="AP4933">
            <v>0</v>
          </cell>
        </row>
        <row r="4934">
          <cell r="C4934">
            <v>0</v>
          </cell>
          <cell r="N4934">
            <v>0</v>
          </cell>
          <cell r="O4934">
            <v>0</v>
          </cell>
          <cell r="AP4934">
            <v>0</v>
          </cell>
        </row>
        <row r="4935">
          <cell r="C4935">
            <v>0</v>
          </cell>
          <cell r="N4935">
            <v>0</v>
          </cell>
          <cell r="O4935">
            <v>0</v>
          </cell>
          <cell r="AP4935">
            <v>0</v>
          </cell>
        </row>
        <row r="4936">
          <cell r="C4936">
            <v>0</v>
          </cell>
          <cell r="N4936">
            <v>0</v>
          </cell>
          <cell r="O4936">
            <v>0</v>
          </cell>
          <cell r="AP4936">
            <v>0</v>
          </cell>
        </row>
        <row r="4937">
          <cell r="C4937">
            <v>0</v>
          </cell>
          <cell r="N4937">
            <v>0</v>
          </cell>
          <cell r="O4937">
            <v>0</v>
          </cell>
          <cell r="AP4937">
            <v>0</v>
          </cell>
        </row>
        <row r="4938">
          <cell r="C4938">
            <v>0</v>
          </cell>
          <cell r="N4938">
            <v>0</v>
          </cell>
          <cell r="O4938">
            <v>0</v>
          </cell>
          <cell r="AP4938">
            <v>0</v>
          </cell>
        </row>
        <row r="4939">
          <cell r="C4939">
            <v>0</v>
          </cell>
          <cell r="N4939">
            <v>0</v>
          </cell>
          <cell r="O4939">
            <v>0</v>
          </cell>
          <cell r="AP4939">
            <v>0</v>
          </cell>
        </row>
        <row r="4940">
          <cell r="C4940">
            <v>0</v>
          </cell>
          <cell r="N4940">
            <v>0</v>
          </cell>
          <cell r="O4940">
            <v>0</v>
          </cell>
          <cell r="AP4940">
            <v>0</v>
          </cell>
        </row>
        <row r="4941">
          <cell r="C4941">
            <v>0</v>
          </cell>
          <cell r="N4941">
            <v>0</v>
          </cell>
          <cell r="O4941">
            <v>0</v>
          </cell>
          <cell r="AP4941">
            <v>0</v>
          </cell>
        </row>
        <row r="4942">
          <cell r="C4942">
            <v>0</v>
          </cell>
          <cell r="N4942">
            <v>0</v>
          </cell>
          <cell r="O4942">
            <v>0</v>
          </cell>
          <cell r="AP4942">
            <v>0</v>
          </cell>
        </row>
        <row r="4943">
          <cell r="C4943">
            <v>0</v>
          </cell>
          <cell r="N4943">
            <v>0</v>
          </cell>
          <cell r="O4943">
            <v>0</v>
          </cell>
          <cell r="AP4943">
            <v>0</v>
          </cell>
        </row>
        <row r="4944">
          <cell r="C4944">
            <v>0</v>
          </cell>
          <cell r="N4944">
            <v>0</v>
          </cell>
          <cell r="O4944">
            <v>0</v>
          </cell>
          <cell r="AP4944">
            <v>0</v>
          </cell>
        </row>
        <row r="4945">
          <cell r="C4945">
            <v>0</v>
          </cell>
          <cell r="N4945">
            <v>0</v>
          </cell>
          <cell r="O4945">
            <v>0</v>
          </cell>
          <cell r="AP4945">
            <v>0</v>
          </cell>
        </row>
        <row r="4946">
          <cell r="C4946">
            <v>0</v>
          </cell>
          <cell r="N4946">
            <v>0</v>
          </cell>
          <cell r="O4946">
            <v>0</v>
          </cell>
          <cell r="AP4946">
            <v>0</v>
          </cell>
        </row>
        <row r="4947">
          <cell r="C4947">
            <v>0</v>
          </cell>
          <cell r="N4947">
            <v>0</v>
          </cell>
          <cell r="O4947">
            <v>0</v>
          </cell>
          <cell r="AP4947">
            <v>0</v>
          </cell>
        </row>
        <row r="4948">
          <cell r="C4948">
            <v>0</v>
          </cell>
          <cell r="N4948">
            <v>0</v>
          </cell>
          <cell r="O4948">
            <v>0</v>
          </cell>
          <cell r="AP4948">
            <v>0</v>
          </cell>
        </row>
        <row r="4949">
          <cell r="C4949">
            <v>0</v>
          </cell>
          <cell r="N4949">
            <v>0</v>
          </cell>
          <cell r="O4949">
            <v>0</v>
          </cell>
          <cell r="AP4949">
            <v>0</v>
          </cell>
        </row>
        <row r="4950">
          <cell r="C4950">
            <v>0</v>
          </cell>
          <cell r="N4950">
            <v>0</v>
          </cell>
          <cell r="O4950">
            <v>0</v>
          </cell>
          <cell r="AP4950">
            <v>0</v>
          </cell>
        </row>
        <row r="4951">
          <cell r="C4951">
            <v>0</v>
          </cell>
          <cell r="N4951">
            <v>0</v>
          </cell>
          <cell r="O4951">
            <v>0</v>
          </cell>
          <cell r="AP4951">
            <v>0</v>
          </cell>
        </row>
        <row r="4952">
          <cell r="C4952">
            <v>0</v>
          </cell>
          <cell r="N4952">
            <v>0</v>
          </cell>
          <cell r="O4952">
            <v>0</v>
          </cell>
          <cell r="AP4952">
            <v>0</v>
          </cell>
        </row>
        <row r="4953">
          <cell r="C4953">
            <v>0</v>
          </cell>
          <cell r="N4953">
            <v>0</v>
          </cell>
          <cell r="O4953">
            <v>0</v>
          </cell>
          <cell r="AP4953">
            <v>0</v>
          </cell>
        </row>
        <row r="4954">
          <cell r="C4954">
            <v>0</v>
          </cell>
          <cell r="N4954">
            <v>0</v>
          </cell>
          <cell r="O4954">
            <v>0</v>
          </cell>
          <cell r="AP4954">
            <v>0</v>
          </cell>
        </row>
        <row r="4955">
          <cell r="C4955">
            <v>0</v>
          </cell>
          <cell r="N4955">
            <v>0</v>
          </cell>
          <cell r="O4955">
            <v>0</v>
          </cell>
          <cell r="AP4955">
            <v>0</v>
          </cell>
        </row>
        <row r="4956">
          <cell r="C4956">
            <v>0</v>
          </cell>
          <cell r="N4956">
            <v>0</v>
          </cell>
          <cell r="O4956">
            <v>0</v>
          </cell>
          <cell r="AP4956">
            <v>0</v>
          </cell>
        </row>
        <row r="4957">
          <cell r="C4957">
            <v>0</v>
          </cell>
          <cell r="N4957">
            <v>0</v>
          </cell>
          <cell r="O4957">
            <v>0</v>
          </cell>
          <cell r="AP4957">
            <v>0</v>
          </cell>
        </row>
        <row r="4958">
          <cell r="C4958">
            <v>0</v>
          </cell>
          <cell r="N4958">
            <v>0</v>
          </cell>
          <cell r="O4958">
            <v>0</v>
          </cell>
          <cell r="AP4958">
            <v>0</v>
          </cell>
        </row>
        <row r="4959">
          <cell r="C4959">
            <v>0</v>
          </cell>
          <cell r="N4959">
            <v>0</v>
          </cell>
          <cell r="O4959">
            <v>0</v>
          </cell>
          <cell r="AP4959">
            <v>0</v>
          </cell>
        </row>
        <row r="4960">
          <cell r="C4960">
            <v>0</v>
          </cell>
          <cell r="N4960">
            <v>0</v>
          </cell>
          <cell r="O4960">
            <v>0</v>
          </cell>
          <cell r="AP4960">
            <v>0</v>
          </cell>
        </row>
        <row r="4961">
          <cell r="C4961">
            <v>0</v>
          </cell>
          <cell r="N4961">
            <v>0</v>
          </cell>
          <cell r="O4961">
            <v>0</v>
          </cell>
          <cell r="AP4961">
            <v>0</v>
          </cell>
        </row>
        <row r="4962">
          <cell r="C4962">
            <v>0</v>
          </cell>
          <cell r="N4962">
            <v>0</v>
          </cell>
          <cell r="O4962">
            <v>0</v>
          </cell>
          <cell r="AP4962">
            <v>0</v>
          </cell>
        </row>
        <row r="4963">
          <cell r="C4963">
            <v>0</v>
          </cell>
          <cell r="N4963">
            <v>0</v>
          </cell>
          <cell r="O4963">
            <v>0</v>
          </cell>
          <cell r="AP4963">
            <v>0</v>
          </cell>
        </row>
        <row r="4964">
          <cell r="C4964">
            <v>0</v>
          </cell>
          <cell r="N4964">
            <v>0</v>
          </cell>
          <cell r="O4964">
            <v>0</v>
          </cell>
          <cell r="AP4964">
            <v>0</v>
          </cell>
        </row>
        <row r="4965">
          <cell r="C4965">
            <v>0</v>
          </cell>
          <cell r="N4965">
            <v>0</v>
          </cell>
          <cell r="O4965">
            <v>0</v>
          </cell>
          <cell r="AP4965">
            <v>0</v>
          </cell>
        </row>
        <row r="4966">
          <cell r="C4966">
            <v>0</v>
          </cell>
          <cell r="N4966">
            <v>0</v>
          </cell>
          <cell r="O4966">
            <v>0</v>
          </cell>
          <cell r="AP4966">
            <v>0</v>
          </cell>
        </row>
        <row r="4967">
          <cell r="C4967">
            <v>0</v>
          </cell>
          <cell r="N4967">
            <v>0</v>
          </cell>
          <cell r="O4967">
            <v>0</v>
          </cell>
          <cell r="AP4967">
            <v>0</v>
          </cell>
        </row>
        <row r="4968">
          <cell r="C4968">
            <v>0</v>
          </cell>
          <cell r="N4968">
            <v>0</v>
          </cell>
          <cell r="O4968">
            <v>0</v>
          </cell>
          <cell r="AP4968">
            <v>0</v>
          </cell>
        </row>
        <row r="4969">
          <cell r="C4969">
            <v>0</v>
          </cell>
          <cell r="N4969">
            <v>0</v>
          </cell>
          <cell r="O4969">
            <v>0</v>
          </cell>
          <cell r="AP4969">
            <v>0</v>
          </cell>
        </row>
        <row r="4970">
          <cell r="C4970">
            <v>0</v>
          </cell>
          <cell r="N4970">
            <v>0</v>
          </cell>
          <cell r="O4970">
            <v>0</v>
          </cell>
          <cell r="AP4970">
            <v>0</v>
          </cell>
        </row>
        <row r="4971">
          <cell r="C4971">
            <v>0</v>
          </cell>
          <cell r="N4971">
            <v>0</v>
          </cell>
          <cell r="O4971">
            <v>0</v>
          </cell>
          <cell r="AP4971">
            <v>0</v>
          </cell>
        </row>
        <row r="4972">
          <cell r="C4972">
            <v>0</v>
          </cell>
          <cell r="N4972">
            <v>0</v>
          </cell>
          <cell r="O4972">
            <v>0</v>
          </cell>
          <cell r="AP4972">
            <v>0</v>
          </cell>
        </row>
        <row r="4973">
          <cell r="C4973">
            <v>0</v>
          </cell>
          <cell r="N4973">
            <v>0</v>
          </cell>
          <cell r="O4973">
            <v>0</v>
          </cell>
          <cell r="AP4973">
            <v>0</v>
          </cell>
        </row>
        <row r="4974">
          <cell r="C4974">
            <v>0</v>
          </cell>
          <cell r="N4974">
            <v>0</v>
          </cell>
          <cell r="O4974">
            <v>0</v>
          </cell>
          <cell r="AP4974">
            <v>0</v>
          </cell>
        </row>
        <row r="4975">
          <cell r="C4975">
            <v>0</v>
          </cell>
          <cell r="N4975">
            <v>0</v>
          </cell>
          <cell r="O4975">
            <v>0</v>
          </cell>
          <cell r="AP4975">
            <v>0</v>
          </cell>
        </row>
        <row r="4976">
          <cell r="C4976">
            <v>0</v>
          </cell>
          <cell r="N4976">
            <v>0</v>
          </cell>
          <cell r="O4976">
            <v>0</v>
          </cell>
          <cell r="AP4976">
            <v>0</v>
          </cell>
        </row>
        <row r="4977">
          <cell r="C4977">
            <v>0</v>
          </cell>
          <cell r="N4977">
            <v>0</v>
          </cell>
          <cell r="O4977">
            <v>0</v>
          </cell>
          <cell r="AP4977">
            <v>0</v>
          </cell>
        </row>
        <row r="4978">
          <cell r="C4978">
            <v>0</v>
          </cell>
          <cell r="N4978">
            <v>0</v>
          </cell>
          <cell r="O4978">
            <v>0</v>
          </cell>
          <cell r="AP4978">
            <v>0</v>
          </cell>
        </row>
        <row r="4979">
          <cell r="C4979">
            <v>0</v>
          </cell>
          <cell r="N4979">
            <v>0</v>
          </cell>
          <cell r="O4979">
            <v>0</v>
          </cell>
          <cell r="AP4979">
            <v>0</v>
          </cell>
        </row>
        <row r="4980">
          <cell r="C4980">
            <v>0</v>
          </cell>
          <cell r="N4980">
            <v>0</v>
          </cell>
          <cell r="O4980">
            <v>0</v>
          </cell>
          <cell r="AP4980">
            <v>0</v>
          </cell>
        </row>
        <row r="4981">
          <cell r="C4981">
            <v>0</v>
          </cell>
          <cell r="N4981">
            <v>0</v>
          </cell>
          <cell r="O4981">
            <v>0</v>
          </cell>
          <cell r="AP4981">
            <v>0</v>
          </cell>
        </row>
        <row r="4982">
          <cell r="C4982">
            <v>0</v>
          </cell>
          <cell r="N4982">
            <v>0</v>
          </cell>
          <cell r="O4982">
            <v>0</v>
          </cell>
          <cell r="AP4982">
            <v>0</v>
          </cell>
        </row>
        <row r="4983">
          <cell r="C4983">
            <v>0</v>
          </cell>
          <cell r="N4983">
            <v>0</v>
          </cell>
          <cell r="O4983">
            <v>0</v>
          </cell>
          <cell r="AP4983">
            <v>0</v>
          </cell>
        </row>
        <row r="4984">
          <cell r="C4984">
            <v>0</v>
          </cell>
          <cell r="N4984">
            <v>0</v>
          </cell>
          <cell r="O4984">
            <v>0</v>
          </cell>
          <cell r="AP4984">
            <v>0</v>
          </cell>
        </row>
        <row r="4985">
          <cell r="C4985">
            <v>0</v>
          </cell>
          <cell r="N4985">
            <v>0</v>
          </cell>
          <cell r="O4985">
            <v>0</v>
          </cell>
          <cell r="AP4985">
            <v>0</v>
          </cell>
        </row>
        <row r="4986">
          <cell r="C4986">
            <v>0</v>
          </cell>
          <cell r="N4986">
            <v>0</v>
          </cell>
          <cell r="O4986">
            <v>0</v>
          </cell>
          <cell r="AP4986">
            <v>0</v>
          </cell>
        </row>
        <row r="4987">
          <cell r="C4987">
            <v>0</v>
          </cell>
          <cell r="N4987">
            <v>0</v>
          </cell>
          <cell r="O4987">
            <v>0</v>
          </cell>
          <cell r="AP4987">
            <v>0</v>
          </cell>
        </row>
        <row r="4988">
          <cell r="C4988">
            <v>0</v>
          </cell>
          <cell r="N4988">
            <v>0</v>
          </cell>
          <cell r="O4988">
            <v>0</v>
          </cell>
          <cell r="AP4988">
            <v>0</v>
          </cell>
        </row>
        <row r="4989">
          <cell r="C4989">
            <v>0</v>
          </cell>
          <cell r="N4989">
            <v>0</v>
          </cell>
          <cell r="O4989">
            <v>0</v>
          </cell>
          <cell r="AP4989">
            <v>0</v>
          </cell>
        </row>
        <row r="4990">
          <cell r="C4990">
            <v>0</v>
          </cell>
          <cell r="N4990">
            <v>0</v>
          </cell>
          <cell r="O4990">
            <v>0</v>
          </cell>
          <cell r="AP4990">
            <v>0</v>
          </cell>
        </row>
        <row r="4991">
          <cell r="C4991">
            <v>0</v>
          </cell>
          <cell r="N4991">
            <v>0</v>
          </cell>
          <cell r="O4991">
            <v>0</v>
          </cell>
          <cell r="AP4991">
            <v>0</v>
          </cell>
        </row>
        <row r="4992">
          <cell r="C4992">
            <v>0</v>
          </cell>
          <cell r="N4992">
            <v>0</v>
          </cell>
          <cell r="O4992">
            <v>0</v>
          </cell>
          <cell r="AP4992">
            <v>0</v>
          </cell>
        </row>
        <row r="4993">
          <cell r="C4993">
            <v>0</v>
          </cell>
          <cell r="N4993">
            <v>0</v>
          </cell>
          <cell r="O4993">
            <v>0</v>
          </cell>
          <cell r="AP4993">
            <v>0</v>
          </cell>
        </row>
        <row r="4994">
          <cell r="C4994">
            <v>0</v>
          </cell>
          <cell r="N4994">
            <v>0</v>
          </cell>
          <cell r="O4994">
            <v>0</v>
          </cell>
          <cell r="AP4994">
            <v>0</v>
          </cell>
        </row>
        <row r="4995">
          <cell r="C4995">
            <v>0</v>
          </cell>
          <cell r="N4995">
            <v>0</v>
          </cell>
          <cell r="O4995">
            <v>0</v>
          </cell>
          <cell r="AP4995">
            <v>0</v>
          </cell>
        </row>
        <row r="4996">
          <cell r="C4996">
            <v>0</v>
          </cell>
          <cell r="N4996">
            <v>0</v>
          </cell>
          <cell r="O4996">
            <v>0</v>
          </cell>
          <cell r="AP4996">
            <v>0</v>
          </cell>
        </row>
        <row r="4997">
          <cell r="C4997">
            <v>0</v>
          </cell>
          <cell r="N4997">
            <v>0</v>
          </cell>
          <cell r="O4997">
            <v>0</v>
          </cell>
          <cell r="AP4997">
            <v>0</v>
          </cell>
        </row>
        <row r="4998">
          <cell r="C4998">
            <v>0</v>
          </cell>
          <cell r="N4998">
            <v>0</v>
          </cell>
          <cell r="O4998">
            <v>0</v>
          </cell>
          <cell r="AP4998">
            <v>0</v>
          </cell>
        </row>
        <row r="4999">
          <cell r="C4999">
            <v>0</v>
          </cell>
          <cell r="N4999">
            <v>0</v>
          </cell>
          <cell r="O4999">
            <v>0</v>
          </cell>
          <cell r="AP4999">
            <v>0</v>
          </cell>
        </row>
        <row r="5000">
          <cell r="C5000">
            <v>0</v>
          </cell>
          <cell r="N5000">
            <v>0</v>
          </cell>
          <cell r="O5000">
            <v>0</v>
          </cell>
          <cell r="AP5000">
            <v>0</v>
          </cell>
        </row>
        <row r="5001">
          <cell r="C5001">
            <v>0</v>
          </cell>
          <cell r="N5001">
            <v>0</v>
          </cell>
          <cell r="O5001">
            <v>0</v>
          </cell>
          <cell r="AP5001">
            <v>0</v>
          </cell>
        </row>
        <row r="5002">
          <cell r="C5002">
            <v>0</v>
          </cell>
          <cell r="N5002">
            <v>0</v>
          </cell>
          <cell r="O5002">
            <v>0</v>
          </cell>
          <cell r="AP5002">
            <v>0</v>
          </cell>
        </row>
        <row r="5003">
          <cell r="C5003">
            <v>0</v>
          </cell>
          <cell r="N5003">
            <v>0</v>
          </cell>
          <cell r="O5003">
            <v>0</v>
          </cell>
          <cell r="AP5003">
            <v>0</v>
          </cell>
        </row>
        <row r="5004">
          <cell r="C5004">
            <v>0</v>
          </cell>
          <cell r="N5004">
            <v>0</v>
          </cell>
          <cell r="O5004">
            <v>0</v>
          </cell>
          <cell r="AP5004">
            <v>0</v>
          </cell>
        </row>
        <row r="5005">
          <cell r="C5005">
            <v>0</v>
          </cell>
          <cell r="N5005">
            <v>0</v>
          </cell>
          <cell r="O5005">
            <v>0</v>
          </cell>
          <cell r="AP5005">
            <v>0</v>
          </cell>
        </row>
        <row r="5006">
          <cell r="C5006">
            <v>0</v>
          </cell>
          <cell r="N5006">
            <v>0</v>
          </cell>
          <cell r="O5006">
            <v>0</v>
          </cell>
          <cell r="AP5006">
            <v>0</v>
          </cell>
        </row>
        <row r="5007">
          <cell r="C5007">
            <v>0</v>
          </cell>
          <cell r="N5007">
            <v>0</v>
          </cell>
          <cell r="O5007">
            <v>0</v>
          </cell>
          <cell r="AP5007">
            <v>0</v>
          </cell>
        </row>
        <row r="5008">
          <cell r="C5008">
            <v>0</v>
          </cell>
          <cell r="N5008">
            <v>0</v>
          </cell>
          <cell r="O5008">
            <v>0</v>
          </cell>
          <cell r="AP5008">
            <v>0</v>
          </cell>
        </row>
        <row r="5009">
          <cell r="C5009">
            <v>0</v>
          </cell>
          <cell r="N5009">
            <v>0</v>
          </cell>
          <cell r="O5009">
            <v>0</v>
          </cell>
          <cell r="AP5009">
            <v>0</v>
          </cell>
        </row>
        <row r="5010">
          <cell r="C5010">
            <v>0</v>
          </cell>
          <cell r="N5010">
            <v>0</v>
          </cell>
          <cell r="O5010">
            <v>0</v>
          </cell>
          <cell r="AP5010">
            <v>0</v>
          </cell>
        </row>
        <row r="5011">
          <cell r="C5011">
            <v>0</v>
          </cell>
          <cell r="N5011">
            <v>0</v>
          </cell>
          <cell r="O5011">
            <v>0</v>
          </cell>
          <cell r="AP5011">
            <v>0</v>
          </cell>
        </row>
        <row r="5012">
          <cell r="C5012">
            <v>0</v>
          </cell>
          <cell r="N5012">
            <v>0</v>
          </cell>
          <cell r="O5012">
            <v>0</v>
          </cell>
          <cell r="AP5012">
            <v>0</v>
          </cell>
        </row>
        <row r="5013">
          <cell r="C5013">
            <v>0</v>
          </cell>
          <cell r="N5013">
            <v>0</v>
          </cell>
          <cell r="O5013">
            <v>0</v>
          </cell>
          <cell r="AP5013">
            <v>0</v>
          </cell>
        </row>
        <row r="5014">
          <cell r="C5014">
            <v>0</v>
          </cell>
          <cell r="N5014">
            <v>0</v>
          </cell>
          <cell r="O5014">
            <v>0</v>
          </cell>
          <cell r="AP5014">
            <v>0</v>
          </cell>
        </row>
        <row r="5015">
          <cell r="C5015">
            <v>0</v>
          </cell>
          <cell r="N5015">
            <v>0</v>
          </cell>
          <cell r="O5015">
            <v>0</v>
          </cell>
          <cell r="AP5015">
            <v>0</v>
          </cell>
        </row>
        <row r="5016">
          <cell r="C5016">
            <v>0</v>
          </cell>
          <cell r="N5016">
            <v>0</v>
          </cell>
          <cell r="O5016">
            <v>0</v>
          </cell>
          <cell r="AP5016">
            <v>0</v>
          </cell>
        </row>
        <row r="5017">
          <cell r="C5017">
            <v>0</v>
          </cell>
          <cell r="N5017">
            <v>0</v>
          </cell>
          <cell r="O5017">
            <v>0</v>
          </cell>
          <cell r="AP5017">
            <v>0</v>
          </cell>
        </row>
        <row r="5018">
          <cell r="C5018">
            <v>0</v>
          </cell>
          <cell r="N5018">
            <v>0</v>
          </cell>
          <cell r="O5018">
            <v>0</v>
          </cell>
          <cell r="AP5018">
            <v>0</v>
          </cell>
        </row>
        <row r="5019">
          <cell r="C5019">
            <v>0</v>
          </cell>
          <cell r="N5019">
            <v>0</v>
          </cell>
          <cell r="O5019">
            <v>0</v>
          </cell>
          <cell r="AP5019">
            <v>0</v>
          </cell>
        </row>
        <row r="5020">
          <cell r="C5020">
            <v>0</v>
          </cell>
          <cell r="N5020">
            <v>0</v>
          </cell>
          <cell r="O5020">
            <v>0</v>
          </cell>
          <cell r="AP5020">
            <v>0</v>
          </cell>
        </row>
        <row r="5021">
          <cell r="C5021">
            <v>0</v>
          </cell>
          <cell r="N5021">
            <v>0</v>
          </cell>
          <cell r="O5021">
            <v>0</v>
          </cell>
          <cell r="AP5021">
            <v>0</v>
          </cell>
        </row>
        <row r="5022">
          <cell r="C5022">
            <v>0</v>
          </cell>
          <cell r="N5022">
            <v>0</v>
          </cell>
          <cell r="O5022">
            <v>0</v>
          </cell>
          <cell r="AP5022">
            <v>0</v>
          </cell>
        </row>
        <row r="5023">
          <cell r="C5023">
            <v>0</v>
          </cell>
          <cell r="N5023">
            <v>0</v>
          </cell>
          <cell r="O5023">
            <v>0</v>
          </cell>
          <cell r="AP5023">
            <v>0</v>
          </cell>
        </row>
        <row r="5024">
          <cell r="C5024">
            <v>0</v>
          </cell>
          <cell r="N5024">
            <v>0</v>
          </cell>
          <cell r="O5024">
            <v>0</v>
          </cell>
          <cell r="AP5024">
            <v>0</v>
          </cell>
        </row>
        <row r="5025">
          <cell r="C5025">
            <v>0</v>
          </cell>
          <cell r="N5025">
            <v>0</v>
          </cell>
          <cell r="O5025">
            <v>0</v>
          </cell>
          <cell r="AP5025">
            <v>0</v>
          </cell>
        </row>
        <row r="5026">
          <cell r="C5026">
            <v>0</v>
          </cell>
          <cell r="N5026">
            <v>0</v>
          </cell>
          <cell r="O5026">
            <v>0</v>
          </cell>
          <cell r="AP5026">
            <v>0</v>
          </cell>
        </row>
        <row r="5027">
          <cell r="C5027">
            <v>0</v>
          </cell>
          <cell r="N5027">
            <v>0</v>
          </cell>
          <cell r="O5027">
            <v>0</v>
          </cell>
          <cell r="AP5027">
            <v>0</v>
          </cell>
        </row>
        <row r="5028">
          <cell r="C5028">
            <v>0</v>
          </cell>
          <cell r="N5028">
            <v>0</v>
          </cell>
          <cell r="O5028">
            <v>0</v>
          </cell>
          <cell r="AP5028">
            <v>0</v>
          </cell>
        </row>
        <row r="5029">
          <cell r="C5029">
            <v>0</v>
          </cell>
          <cell r="N5029">
            <v>0</v>
          </cell>
          <cell r="O5029">
            <v>0</v>
          </cell>
          <cell r="AP5029">
            <v>0</v>
          </cell>
        </row>
        <row r="5030">
          <cell r="C5030">
            <v>0</v>
          </cell>
          <cell r="N5030">
            <v>0</v>
          </cell>
          <cell r="O5030">
            <v>0</v>
          </cell>
          <cell r="AP5030">
            <v>0</v>
          </cell>
        </row>
        <row r="5031">
          <cell r="C5031">
            <v>0</v>
          </cell>
          <cell r="N5031">
            <v>0</v>
          </cell>
          <cell r="O5031">
            <v>0</v>
          </cell>
          <cell r="AP5031">
            <v>0</v>
          </cell>
        </row>
        <row r="5032">
          <cell r="C5032">
            <v>0</v>
          </cell>
          <cell r="N5032">
            <v>0</v>
          </cell>
          <cell r="O5032">
            <v>0</v>
          </cell>
          <cell r="AP5032">
            <v>0</v>
          </cell>
        </row>
        <row r="5033">
          <cell r="C5033">
            <v>0</v>
          </cell>
          <cell r="N5033">
            <v>0</v>
          </cell>
          <cell r="O5033">
            <v>0</v>
          </cell>
          <cell r="AP5033">
            <v>0</v>
          </cell>
        </row>
        <row r="5034">
          <cell r="C5034">
            <v>0</v>
          </cell>
          <cell r="N5034">
            <v>0</v>
          </cell>
          <cell r="O5034">
            <v>0</v>
          </cell>
          <cell r="AP5034">
            <v>0</v>
          </cell>
        </row>
        <row r="5035">
          <cell r="C5035">
            <v>0</v>
          </cell>
          <cell r="N5035">
            <v>0</v>
          </cell>
          <cell r="O5035">
            <v>0</v>
          </cell>
          <cell r="AP5035">
            <v>0</v>
          </cell>
        </row>
        <row r="5036">
          <cell r="C5036">
            <v>0</v>
          </cell>
          <cell r="N5036">
            <v>0</v>
          </cell>
          <cell r="O5036">
            <v>0</v>
          </cell>
          <cell r="AP5036">
            <v>0</v>
          </cell>
        </row>
        <row r="5037">
          <cell r="C5037">
            <v>0</v>
          </cell>
          <cell r="N5037">
            <v>0</v>
          </cell>
          <cell r="O5037">
            <v>0</v>
          </cell>
          <cell r="AP5037">
            <v>0</v>
          </cell>
        </row>
        <row r="5038">
          <cell r="C5038">
            <v>0</v>
          </cell>
          <cell r="N5038">
            <v>0</v>
          </cell>
          <cell r="O5038">
            <v>0</v>
          </cell>
          <cell r="AP5038">
            <v>0</v>
          </cell>
        </row>
        <row r="5039">
          <cell r="C5039">
            <v>0</v>
          </cell>
          <cell r="N5039">
            <v>0</v>
          </cell>
          <cell r="O5039">
            <v>0</v>
          </cell>
          <cell r="AP5039">
            <v>0</v>
          </cell>
        </row>
        <row r="5040">
          <cell r="C5040">
            <v>0</v>
          </cell>
          <cell r="N5040">
            <v>0</v>
          </cell>
          <cell r="O5040">
            <v>0</v>
          </cell>
          <cell r="AP5040">
            <v>0</v>
          </cell>
        </row>
        <row r="5041">
          <cell r="C5041">
            <v>0</v>
          </cell>
          <cell r="N5041">
            <v>0</v>
          </cell>
          <cell r="O5041">
            <v>0</v>
          </cell>
          <cell r="AP5041">
            <v>0</v>
          </cell>
        </row>
        <row r="5042">
          <cell r="C5042">
            <v>0</v>
          </cell>
          <cell r="N5042">
            <v>0</v>
          </cell>
          <cell r="O5042">
            <v>0</v>
          </cell>
          <cell r="AP5042">
            <v>0</v>
          </cell>
        </row>
        <row r="5043">
          <cell r="C5043">
            <v>0</v>
          </cell>
          <cell r="N5043">
            <v>0</v>
          </cell>
          <cell r="O5043">
            <v>0</v>
          </cell>
          <cell r="AP5043">
            <v>0</v>
          </cell>
        </row>
        <row r="5044">
          <cell r="C5044">
            <v>0</v>
          </cell>
          <cell r="N5044">
            <v>0</v>
          </cell>
          <cell r="O5044">
            <v>0</v>
          </cell>
          <cell r="AP5044">
            <v>0</v>
          </cell>
        </row>
        <row r="5045">
          <cell r="C5045">
            <v>0</v>
          </cell>
          <cell r="N5045">
            <v>0</v>
          </cell>
          <cell r="O5045">
            <v>0</v>
          </cell>
          <cell r="AP5045">
            <v>0</v>
          </cell>
        </row>
        <row r="5046">
          <cell r="C5046">
            <v>0</v>
          </cell>
          <cell r="N5046">
            <v>0</v>
          </cell>
          <cell r="O5046">
            <v>0</v>
          </cell>
          <cell r="AP5046">
            <v>0</v>
          </cell>
        </row>
        <row r="5047">
          <cell r="C5047">
            <v>0</v>
          </cell>
          <cell r="N5047">
            <v>0</v>
          </cell>
          <cell r="O5047">
            <v>0</v>
          </cell>
          <cell r="AP5047">
            <v>0</v>
          </cell>
        </row>
        <row r="5048">
          <cell r="C5048">
            <v>0</v>
          </cell>
          <cell r="N5048">
            <v>0</v>
          </cell>
          <cell r="O5048">
            <v>0</v>
          </cell>
          <cell r="AP5048">
            <v>0</v>
          </cell>
        </row>
        <row r="5049">
          <cell r="C5049">
            <v>0</v>
          </cell>
          <cell r="N5049">
            <v>0</v>
          </cell>
          <cell r="O5049">
            <v>0</v>
          </cell>
          <cell r="AP5049">
            <v>0</v>
          </cell>
        </row>
        <row r="5050">
          <cell r="C5050">
            <v>0</v>
          </cell>
          <cell r="N5050">
            <v>0</v>
          </cell>
          <cell r="O5050">
            <v>0</v>
          </cell>
          <cell r="AP5050">
            <v>0</v>
          </cell>
        </row>
        <row r="5051">
          <cell r="C5051">
            <v>0</v>
          </cell>
          <cell r="N5051">
            <v>0</v>
          </cell>
          <cell r="O5051">
            <v>0</v>
          </cell>
          <cell r="AP5051">
            <v>0</v>
          </cell>
        </row>
        <row r="5052">
          <cell r="C5052">
            <v>0</v>
          </cell>
          <cell r="N5052">
            <v>0</v>
          </cell>
          <cell r="O5052">
            <v>0</v>
          </cell>
          <cell r="AP5052">
            <v>0</v>
          </cell>
        </row>
        <row r="5053">
          <cell r="C5053">
            <v>0</v>
          </cell>
          <cell r="N5053">
            <v>0</v>
          </cell>
          <cell r="O5053">
            <v>0</v>
          </cell>
          <cell r="AP5053">
            <v>0</v>
          </cell>
        </row>
        <row r="5054">
          <cell r="C5054">
            <v>0</v>
          </cell>
          <cell r="N5054">
            <v>0</v>
          </cell>
          <cell r="O5054">
            <v>0</v>
          </cell>
          <cell r="AP5054">
            <v>0</v>
          </cell>
        </row>
        <row r="5055">
          <cell r="C5055">
            <v>0</v>
          </cell>
          <cell r="N5055">
            <v>0</v>
          </cell>
          <cell r="O5055">
            <v>0</v>
          </cell>
          <cell r="AP5055">
            <v>0</v>
          </cell>
        </row>
        <row r="5056">
          <cell r="C5056">
            <v>0</v>
          </cell>
          <cell r="N5056">
            <v>0</v>
          </cell>
          <cell r="O5056">
            <v>0</v>
          </cell>
          <cell r="AP5056">
            <v>0</v>
          </cell>
        </row>
        <row r="5057">
          <cell r="C5057">
            <v>0</v>
          </cell>
          <cell r="N5057">
            <v>0</v>
          </cell>
          <cell r="O5057">
            <v>0</v>
          </cell>
          <cell r="AP5057">
            <v>0</v>
          </cell>
        </row>
        <row r="5058">
          <cell r="C5058">
            <v>0</v>
          </cell>
          <cell r="N5058">
            <v>0</v>
          </cell>
          <cell r="O5058">
            <v>0</v>
          </cell>
          <cell r="AP5058">
            <v>0</v>
          </cell>
        </row>
        <row r="5059">
          <cell r="C5059">
            <v>0</v>
          </cell>
          <cell r="N5059">
            <v>0</v>
          </cell>
          <cell r="O5059">
            <v>0</v>
          </cell>
          <cell r="AP5059">
            <v>0</v>
          </cell>
        </row>
        <row r="5060">
          <cell r="C5060">
            <v>0</v>
          </cell>
          <cell r="N5060">
            <v>0</v>
          </cell>
          <cell r="O5060">
            <v>0</v>
          </cell>
          <cell r="AP5060">
            <v>0</v>
          </cell>
        </row>
        <row r="5061">
          <cell r="C5061">
            <v>0</v>
          </cell>
          <cell r="N5061">
            <v>0</v>
          </cell>
          <cell r="O5061">
            <v>0</v>
          </cell>
          <cell r="AP5061">
            <v>0</v>
          </cell>
        </row>
        <row r="5062">
          <cell r="C5062">
            <v>0</v>
          </cell>
          <cell r="N5062">
            <v>0</v>
          </cell>
          <cell r="O5062">
            <v>0</v>
          </cell>
          <cell r="AP5062">
            <v>0</v>
          </cell>
        </row>
        <row r="5063">
          <cell r="C5063">
            <v>0</v>
          </cell>
          <cell r="N5063">
            <v>0</v>
          </cell>
          <cell r="O5063">
            <v>0</v>
          </cell>
          <cell r="AP5063">
            <v>0</v>
          </cell>
        </row>
        <row r="5064">
          <cell r="C5064">
            <v>0</v>
          </cell>
          <cell r="N5064">
            <v>0</v>
          </cell>
          <cell r="O5064">
            <v>0</v>
          </cell>
          <cell r="AP5064">
            <v>0</v>
          </cell>
        </row>
        <row r="5065">
          <cell r="C5065">
            <v>0</v>
          </cell>
          <cell r="N5065">
            <v>0</v>
          </cell>
          <cell r="O5065">
            <v>0</v>
          </cell>
          <cell r="AP5065">
            <v>0</v>
          </cell>
        </row>
        <row r="5066">
          <cell r="C5066">
            <v>0</v>
          </cell>
          <cell r="N5066">
            <v>0</v>
          </cell>
          <cell r="O5066">
            <v>0</v>
          </cell>
          <cell r="AP5066">
            <v>0</v>
          </cell>
        </row>
        <row r="5067">
          <cell r="C5067">
            <v>0</v>
          </cell>
          <cell r="N5067">
            <v>0</v>
          </cell>
          <cell r="O5067">
            <v>0</v>
          </cell>
          <cell r="AP5067">
            <v>0</v>
          </cell>
        </row>
        <row r="5068">
          <cell r="C5068">
            <v>0</v>
          </cell>
          <cell r="N5068">
            <v>0</v>
          </cell>
          <cell r="O5068">
            <v>0</v>
          </cell>
          <cell r="AP5068">
            <v>0</v>
          </cell>
        </row>
        <row r="5069">
          <cell r="C5069">
            <v>0</v>
          </cell>
          <cell r="N5069">
            <v>0</v>
          </cell>
          <cell r="O5069">
            <v>0</v>
          </cell>
          <cell r="AP5069">
            <v>0</v>
          </cell>
        </row>
        <row r="5070">
          <cell r="C5070">
            <v>0</v>
          </cell>
          <cell r="N5070">
            <v>0</v>
          </cell>
          <cell r="O5070">
            <v>0</v>
          </cell>
          <cell r="AP5070">
            <v>0</v>
          </cell>
        </row>
        <row r="5071">
          <cell r="C5071">
            <v>0</v>
          </cell>
          <cell r="N5071">
            <v>0</v>
          </cell>
          <cell r="O5071">
            <v>0</v>
          </cell>
          <cell r="AP5071">
            <v>0</v>
          </cell>
        </row>
        <row r="5072">
          <cell r="C5072">
            <v>0</v>
          </cell>
          <cell r="N5072">
            <v>0</v>
          </cell>
          <cell r="O5072">
            <v>0</v>
          </cell>
          <cell r="AP5072">
            <v>0</v>
          </cell>
        </row>
        <row r="5073">
          <cell r="C5073">
            <v>0</v>
          </cell>
          <cell r="N5073">
            <v>0</v>
          </cell>
          <cell r="O5073">
            <v>0</v>
          </cell>
          <cell r="AP5073">
            <v>0</v>
          </cell>
        </row>
        <row r="5074">
          <cell r="C5074">
            <v>0</v>
          </cell>
          <cell r="N5074">
            <v>0</v>
          </cell>
          <cell r="O5074">
            <v>0</v>
          </cell>
          <cell r="AP5074">
            <v>0</v>
          </cell>
        </row>
        <row r="5075">
          <cell r="C5075">
            <v>0</v>
          </cell>
          <cell r="N5075">
            <v>0</v>
          </cell>
          <cell r="O5075">
            <v>0</v>
          </cell>
          <cell r="AP5075">
            <v>0</v>
          </cell>
        </row>
        <row r="5076">
          <cell r="C5076">
            <v>0</v>
          </cell>
          <cell r="N5076">
            <v>0</v>
          </cell>
          <cell r="O5076">
            <v>0</v>
          </cell>
          <cell r="AP5076">
            <v>0</v>
          </cell>
        </row>
        <row r="5077">
          <cell r="C5077">
            <v>0</v>
          </cell>
          <cell r="N5077">
            <v>0</v>
          </cell>
          <cell r="O5077">
            <v>0</v>
          </cell>
          <cell r="AP5077">
            <v>0</v>
          </cell>
        </row>
        <row r="5078">
          <cell r="C5078">
            <v>0</v>
          </cell>
          <cell r="N5078">
            <v>0</v>
          </cell>
          <cell r="O5078">
            <v>0</v>
          </cell>
          <cell r="AP5078">
            <v>0</v>
          </cell>
        </row>
        <row r="5079">
          <cell r="C5079">
            <v>0</v>
          </cell>
          <cell r="N5079">
            <v>0</v>
          </cell>
          <cell r="O5079">
            <v>0</v>
          </cell>
          <cell r="AP5079">
            <v>0</v>
          </cell>
        </row>
        <row r="5080">
          <cell r="C5080">
            <v>0</v>
          </cell>
          <cell r="N5080">
            <v>0</v>
          </cell>
          <cell r="O5080">
            <v>0</v>
          </cell>
          <cell r="AP5080">
            <v>0</v>
          </cell>
        </row>
        <row r="5081">
          <cell r="C5081">
            <v>0</v>
          </cell>
          <cell r="N5081">
            <v>0</v>
          </cell>
          <cell r="O5081">
            <v>0</v>
          </cell>
          <cell r="AP5081">
            <v>0</v>
          </cell>
        </row>
        <row r="5082">
          <cell r="C5082">
            <v>0</v>
          </cell>
          <cell r="N5082">
            <v>0</v>
          </cell>
          <cell r="O5082">
            <v>0</v>
          </cell>
          <cell r="AP5082">
            <v>0</v>
          </cell>
        </row>
        <row r="5083">
          <cell r="C5083">
            <v>0</v>
          </cell>
          <cell r="N5083">
            <v>0</v>
          </cell>
          <cell r="O5083">
            <v>0</v>
          </cell>
          <cell r="AP5083">
            <v>0</v>
          </cell>
        </row>
        <row r="5084">
          <cell r="C5084">
            <v>0</v>
          </cell>
          <cell r="N5084">
            <v>0</v>
          </cell>
          <cell r="O5084">
            <v>0</v>
          </cell>
          <cell r="AP5084">
            <v>0</v>
          </cell>
        </row>
        <row r="5085">
          <cell r="C5085">
            <v>0</v>
          </cell>
          <cell r="N5085">
            <v>0</v>
          </cell>
          <cell r="O5085">
            <v>0</v>
          </cell>
          <cell r="AP5085">
            <v>0</v>
          </cell>
        </row>
        <row r="5086">
          <cell r="C5086">
            <v>0</v>
          </cell>
          <cell r="N5086">
            <v>0</v>
          </cell>
          <cell r="O5086">
            <v>0</v>
          </cell>
          <cell r="AP5086">
            <v>0</v>
          </cell>
        </row>
        <row r="5087">
          <cell r="C5087">
            <v>0</v>
          </cell>
          <cell r="N5087">
            <v>0</v>
          </cell>
          <cell r="O5087">
            <v>0</v>
          </cell>
          <cell r="AP5087">
            <v>0</v>
          </cell>
        </row>
        <row r="5088">
          <cell r="C5088">
            <v>0</v>
          </cell>
          <cell r="N5088">
            <v>0</v>
          </cell>
          <cell r="O5088">
            <v>0</v>
          </cell>
          <cell r="AP5088">
            <v>0</v>
          </cell>
        </row>
        <row r="5089">
          <cell r="C5089">
            <v>0</v>
          </cell>
          <cell r="N5089">
            <v>0</v>
          </cell>
          <cell r="O5089">
            <v>0</v>
          </cell>
          <cell r="AP5089">
            <v>0</v>
          </cell>
        </row>
        <row r="5090">
          <cell r="C5090">
            <v>0</v>
          </cell>
          <cell r="N5090">
            <v>0</v>
          </cell>
          <cell r="O5090">
            <v>0</v>
          </cell>
          <cell r="AP5090">
            <v>0</v>
          </cell>
        </row>
        <row r="5091">
          <cell r="C5091">
            <v>0</v>
          </cell>
          <cell r="N5091">
            <v>0</v>
          </cell>
          <cell r="O5091">
            <v>0</v>
          </cell>
          <cell r="AP5091">
            <v>0</v>
          </cell>
        </row>
        <row r="5092">
          <cell r="C5092">
            <v>0</v>
          </cell>
          <cell r="N5092">
            <v>0</v>
          </cell>
          <cell r="O5092">
            <v>0</v>
          </cell>
          <cell r="AP5092">
            <v>0</v>
          </cell>
        </row>
        <row r="5093">
          <cell r="C5093">
            <v>0</v>
          </cell>
          <cell r="N5093">
            <v>0</v>
          </cell>
          <cell r="O5093">
            <v>0</v>
          </cell>
          <cell r="AP5093">
            <v>0</v>
          </cell>
        </row>
        <row r="5094">
          <cell r="C5094">
            <v>0</v>
          </cell>
          <cell r="N5094">
            <v>0</v>
          </cell>
          <cell r="O5094">
            <v>0</v>
          </cell>
          <cell r="AP5094">
            <v>0</v>
          </cell>
        </row>
        <row r="5095">
          <cell r="C5095">
            <v>0</v>
          </cell>
          <cell r="N5095">
            <v>0</v>
          </cell>
          <cell r="O5095">
            <v>0</v>
          </cell>
          <cell r="AP5095">
            <v>0</v>
          </cell>
        </row>
        <row r="5096">
          <cell r="C5096">
            <v>0</v>
          </cell>
          <cell r="N5096">
            <v>0</v>
          </cell>
          <cell r="O5096">
            <v>0</v>
          </cell>
          <cell r="AP5096">
            <v>0</v>
          </cell>
        </row>
        <row r="5097">
          <cell r="C5097">
            <v>0</v>
          </cell>
          <cell r="N5097">
            <v>0</v>
          </cell>
          <cell r="O5097">
            <v>0</v>
          </cell>
          <cell r="AP5097">
            <v>0</v>
          </cell>
        </row>
        <row r="5098">
          <cell r="C5098">
            <v>0</v>
          </cell>
          <cell r="N5098">
            <v>0</v>
          </cell>
          <cell r="O5098">
            <v>0</v>
          </cell>
          <cell r="AP5098">
            <v>0</v>
          </cell>
        </row>
        <row r="5099">
          <cell r="C5099">
            <v>0</v>
          </cell>
          <cell r="N5099">
            <v>0</v>
          </cell>
          <cell r="O5099">
            <v>0</v>
          </cell>
          <cell r="AP5099">
            <v>0</v>
          </cell>
        </row>
        <row r="5100">
          <cell r="C5100">
            <v>0</v>
          </cell>
          <cell r="N5100">
            <v>0</v>
          </cell>
          <cell r="O5100">
            <v>0</v>
          </cell>
          <cell r="AP5100">
            <v>0</v>
          </cell>
        </row>
        <row r="5101">
          <cell r="C5101">
            <v>0</v>
          </cell>
          <cell r="N5101">
            <v>0</v>
          </cell>
          <cell r="O5101">
            <v>0</v>
          </cell>
          <cell r="AP5101">
            <v>0</v>
          </cell>
        </row>
        <row r="5102">
          <cell r="C5102">
            <v>0</v>
          </cell>
          <cell r="N5102">
            <v>0</v>
          </cell>
          <cell r="O5102">
            <v>0</v>
          </cell>
          <cell r="AP5102">
            <v>0</v>
          </cell>
        </row>
        <row r="5103">
          <cell r="C5103">
            <v>0</v>
          </cell>
          <cell r="N5103">
            <v>0</v>
          </cell>
          <cell r="O5103">
            <v>0</v>
          </cell>
          <cell r="AP5103">
            <v>0</v>
          </cell>
        </row>
        <row r="5104">
          <cell r="C5104">
            <v>0</v>
          </cell>
          <cell r="N5104">
            <v>0</v>
          </cell>
          <cell r="O5104">
            <v>0</v>
          </cell>
          <cell r="AP5104">
            <v>0</v>
          </cell>
        </row>
        <row r="5105">
          <cell r="C5105">
            <v>0</v>
          </cell>
          <cell r="N5105">
            <v>0</v>
          </cell>
          <cell r="O5105">
            <v>0</v>
          </cell>
          <cell r="AP5105">
            <v>0</v>
          </cell>
        </row>
        <row r="5106">
          <cell r="C5106">
            <v>0</v>
          </cell>
          <cell r="N5106">
            <v>0</v>
          </cell>
          <cell r="O5106">
            <v>0</v>
          </cell>
          <cell r="AP5106">
            <v>0</v>
          </cell>
        </row>
        <row r="5107">
          <cell r="C5107">
            <v>0</v>
          </cell>
          <cell r="N5107">
            <v>0</v>
          </cell>
          <cell r="O5107">
            <v>0</v>
          </cell>
          <cell r="AP5107">
            <v>0</v>
          </cell>
        </row>
        <row r="5108">
          <cell r="C5108">
            <v>0</v>
          </cell>
          <cell r="N5108">
            <v>0</v>
          </cell>
          <cell r="O5108">
            <v>0</v>
          </cell>
          <cell r="AP5108">
            <v>0</v>
          </cell>
        </row>
        <row r="5109">
          <cell r="C5109">
            <v>0</v>
          </cell>
          <cell r="N5109">
            <v>0</v>
          </cell>
          <cell r="O5109">
            <v>0</v>
          </cell>
          <cell r="AP5109">
            <v>0</v>
          </cell>
        </row>
        <row r="5110">
          <cell r="C5110">
            <v>0</v>
          </cell>
          <cell r="N5110">
            <v>0</v>
          </cell>
          <cell r="O5110">
            <v>0</v>
          </cell>
          <cell r="AP5110">
            <v>0</v>
          </cell>
        </row>
        <row r="5111">
          <cell r="C5111">
            <v>0</v>
          </cell>
          <cell r="N5111">
            <v>0</v>
          </cell>
          <cell r="O5111">
            <v>0</v>
          </cell>
          <cell r="AP5111">
            <v>0</v>
          </cell>
        </row>
        <row r="5112">
          <cell r="C5112">
            <v>0</v>
          </cell>
          <cell r="N5112">
            <v>0</v>
          </cell>
          <cell r="O5112">
            <v>0</v>
          </cell>
          <cell r="AP5112">
            <v>0</v>
          </cell>
        </row>
        <row r="5113">
          <cell r="C5113">
            <v>0</v>
          </cell>
          <cell r="N5113">
            <v>0</v>
          </cell>
          <cell r="O5113">
            <v>0</v>
          </cell>
          <cell r="AP5113">
            <v>0</v>
          </cell>
        </row>
        <row r="5114">
          <cell r="C5114">
            <v>0</v>
          </cell>
          <cell r="N5114">
            <v>0</v>
          </cell>
          <cell r="O5114">
            <v>0</v>
          </cell>
          <cell r="AP5114">
            <v>0</v>
          </cell>
        </row>
        <row r="5115">
          <cell r="C5115">
            <v>0</v>
          </cell>
          <cell r="N5115">
            <v>0</v>
          </cell>
          <cell r="O5115">
            <v>0</v>
          </cell>
          <cell r="AP5115">
            <v>0</v>
          </cell>
        </row>
        <row r="5116">
          <cell r="C5116">
            <v>0</v>
          </cell>
          <cell r="N5116">
            <v>0</v>
          </cell>
          <cell r="O5116">
            <v>0</v>
          </cell>
          <cell r="AP5116">
            <v>0</v>
          </cell>
        </row>
        <row r="5117">
          <cell r="C5117">
            <v>0</v>
          </cell>
          <cell r="N5117">
            <v>0</v>
          </cell>
          <cell r="O5117">
            <v>0</v>
          </cell>
          <cell r="AP5117">
            <v>0</v>
          </cell>
        </row>
        <row r="5118">
          <cell r="C5118">
            <v>0</v>
          </cell>
          <cell r="N5118">
            <v>0</v>
          </cell>
          <cell r="O5118">
            <v>0</v>
          </cell>
          <cell r="AP5118">
            <v>0</v>
          </cell>
        </row>
        <row r="5119">
          <cell r="C5119">
            <v>0</v>
          </cell>
          <cell r="N5119">
            <v>0</v>
          </cell>
          <cell r="O5119">
            <v>0</v>
          </cell>
          <cell r="AP5119">
            <v>0</v>
          </cell>
        </row>
        <row r="5120">
          <cell r="C5120">
            <v>0</v>
          </cell>
          <cell r="N5120">
            <v>0</v>
          </cell>
          <cell r="O5120">
            <v>0</v>
          </cell>
          <cell r="AP5120">
            <v>0</v>
          </cell>
        </row>
        <row r="5121">
          <cell r="C5121">
            <v>0</v>
          </cell>
          <cell r="N5121">
            <v>0</v>
          </cell>
          <cell r="O5121">
            <v>0</v>
          </cell>
          <cell r="AP5121">
            <v>0</v>
          </cell>
        </row>
        <row r="5122">
          <cell r="C5122">
            <v>0</v>
          </cell>
          <cell r="N5122">
            <v>0</v>
          </cell>
          <cell r="O5122">
            <v>0</v>
          </cell>
          <cell r="AP5122">
            <v>0</v>
          </cell>
        </row>
        <row r="5123">
          <cell r="C5123">
            <v>0</v>
          </cell>
          <cell r="N5123">
            <v>0</v>
          </cell>
          <cell r="O5123">
            <v>0</v>
          </cell>
          <cell r="AP5123">
            <v>0</v>
          </cell>
        </row>
        <row r="5124">
          <cell r="C5124">
            <v>0</v>
          </cell>
          <cell r="N5124">
            <v>0</v>
          </cell>
          <cell r="O5124">
            <v>0</v>
          </cell>
          <cell r="AP5124">
            <v>0</v>
          </cell>
        </row>
        <row r="5125">
          <cell r="C5125">
            <v>0</v>
          </cell>
          <cell r="N5125">
            <v>0</v>
          </cell>
          <cell r="O5125">
            <v>0</v>
          </cell>
          <cell r="AP5125">
            <v>0</v>
          </cell>
        </row>
        <row r="5126">
          <cell r="C5126">
            <v>0</v>
          </cell>
          <cell r="N5126">
            <v>0</v>
          </cell>
          <cell r="O5126">
            <v>0</v>
          </cell>
          <cell r="AP5126">
            <v>0</v>
          </cell>
        </row>
        <row r="5127">
          <cell r="C5127">
            <v>0</v>
          </cell>
          <cell r="N5127">
            <v>0</v>
          </cell>
          <cell r="O5127">
            <v>0</v>
          </cell>
          <cell r="AP5127">
            <v>0</v>
          </cell>
        </row>
        <row r="5128">
          <cell r="C5128">
            <v>0</v>
          </cell>
          <cell r="N5128">
            <v>0</v>
          </cell>
          <cell r="O5128">
            <v>0</v>
          </cell>
          <cell r="AP5128">
            <v>0</v>
          </cell>
        </row>
        <row r="5129">
          <cell r="C5129">
            <v>0</v>
          </cell>
          <cell r="N5129">
            <v>0</v>
          </cell>
          <cell r="O5129">
            <v>0</v>
          </cell>
          <cell r="AP5129">
            <v>0</v>
          </cell>
        </row>
        <row r="5130">
          <cell r="C5130">
            <v>0</v>
          </cell>
          <cell r="N5130">
            <v>0</v>
          </cell>
          <cell r="O5130">
            <v>0</v>
          </cell>
          <cell r="AP5130">
            <v>0</v>
          </cell>
        </row>
        <row r="5131">
          <cell r="C5131">
            <v>0</v>
          </cell>
          <cell r="N5131">
            <v>0</v>
          </cell>
          <cell r="O5131">
            <v>0</v>
          </cell>
          <cell r="AP5131">
            <v>0</v>
          </cell>
        </row>
        <row r="5132">
          <cell r="C5132">
            <v>0</v>
          </cell>
          <cell r="N5132">
            <v>0</v>
          </cell>
          <cell r="O5132">
            <v>0</v>
          </cell>
          <cell r="AP5132">
            <v>0</v>
          </cell>
        </row>
        <row r="5133">
          <cell r="C5133">
            <v>0</v>
          </cell>
          <cell r="N5133">
            <v>0</v>
          </cell>
          <cell r="O5133">
            <v>0</v>
          </cell>
          <cell r="AP5133">
            <v>0</v>
          </cell>
        </row>
        <row r="5134">
          <cell r="C5134">
            <v>0</v>
          </cell>
          <cell r="N5134">
            <v>0</v>
          </cell>
          <cell r="O5134">
            <v>0</v>
          </cell>
          <cell r="AP5134">
            <v>0</v>
          </cell>
        </row>
        <row r="5135">
          <cell r="C5135">
            <v>0</v>
          </cell>
          <cell r="N5135">
            <v>0</v>
          </cell>
          <cell r="O5135">
            <v>0</v>
          </cell>
          <cell r="AP5135">
            <v>0</v>
          </cell>
        </row>
        <row r="5136">
          <cell r="C5136">
            <v>0</v>
          </cell>
          <cell r="N5136">
            <v>0</v>
          </cell>
          <cell r="O5136">
            <v>0</v>
          </cell>
          <cell r="AP5136">
            <v>0</v>
          </cell>
        </row>
        <row r="5137">
          <cell r="C5137">
            <v>0</v>
          </cell>
          <cell r="N5137">
            <v>0</v>
          </cell>
          <cell r="O5137">
            <v>0</v>
          </cell>
          <cell r="AP5137">
            <v>0</v>
          </cell>
        </row>
        <row r="5138">
          <cell r="C5138">
            <v>0</v>
          </cell>
          <cell r="N5138">
            <v>0</v>
          </cell>
          <cell r="O5138">
            <v>0</v>
          </cell>
          <cell r="AP5138">
            <v>0</v>
          </cell>
        </row>
        <row r="5139">
          <cell r="C5139">
            <v>0</v>
          </cell>
          <cell r="N5139">
            <v>0</v>
          </cell>
          <cell r="O5139">
            <v>0</v>
          </cell>
          <cell r="AP5139">
            <v>0</v>
          </cell>
        </row>
        <row r="5140">
          <cell r="C5140">
            <v>0</v>
          </cell>
          <cell r="N5140">
            <v>0</v>
          </cell>
          <cell r="O5140">
            <v>0</v>
          </cell>
          <cell r="AP5140">
            <v>0</v>
          </cell>
        </row>
        <row r="5141">
          <cell r="C5141">
            <v>0</v>
          </cell>
          <cell r="N5141">
            <v>0</v>
          </cell>
          <cell r="O5141">
            <v>0</v>
          </cell>
          <cell r="AP5141">
            <v>0</v>
          </cell>
        </row>
        <row r="5142">
          <cell r="C5142">
            <v>0</v>
          </cell>
          <cell r="N5142">
            <v>0</v>
          </cell>
          <cell r="O5142">
            <v>0</v>
          </cell>
          <cell r="AP5142">
            <v>0</v>
          </cell>
        </row>
        <row r="5143">
          <cell r="C5143">
            <v>0</v>
          </cell>
          <cell r="N5143">
            <v>0</v>
          </cell>
          <cell r="O5143">
            <v>0</v>
          </cell>
          <cell r="AP5143">
            <v>0</v>
          </cell>
        </row>
        <row r="5144">
          <cell r="C5144">
            <v>0</v>
          </cell>
          <cell r="N5144">
            <v>0</v>
          </cell>
          <cell r="O5144">
            <v>0</v>
          </cell>
          <cell r="AP5144">
            <v>0</v>
          </cell>
        </row>
        <row r="5145">
          <cell r="C5145">
            <v>0</v>
          </cell>
          <cell r="N5145">
            <v>0</v>
          </cell>
          <cell r="O5145">
            <v>0</v>
          </cell>
          <cell r="AP5145">
            <v>0</v>
          </cell>
        </row>
        <row r="5146">
          <cell r="C5146">
            <v>0</v>
          </cell>
          <cell r="N5146">
            <v>0</v>
          </cell>
          <cell r="O5146">
            <v>0</v>
          </cell>
          <cell r="AP5146">
            <v>0</v>
          </cell>
        </row>
        <row r="5147">
          <cell r="C5147">
            <v>0</v>
          </cell>
          <cell r="N5147">
            <v>0</v>
          </cell>
          <cell r="O5147">
            <v>0</v>
          </cell>
          <cell r="AP5147">
            <v>0</v>
          </cell>
        </row>
        <row r="5148">
          <cell r="C5148">
            <v>0</v>
          </cell>
          <cell r="N5148">
            <v>0</v>
          </cell>
          <cell r="O5148">
            <v>0</v>
          </cell>
          <cell r="AP5148">
            <v>0</v>
          </cell>
        </row>
        <row r="5149">
          <cell r="C5149">
            <v>0</v>
          </cell>
          <cell r="N5149">
            <v>0</v>
          </cell>
          <cell r="O5149">
            <v>0</v>
          </cell>
          <cell r="AP5149">
            <v>0</v>
          </cell>
        </row>
        <row r="5150">
          <cell r="C5150">
            <v>0</v>
          </cell>
          <cell r="N5150">
            <v>0</v>
          </cell>
          <cell r="O5150">
            <v>0</v>
          </cell>
          <cell r="AP5150">
            <v>0</v>
          </cell>
        </row>
        <row r="5151">
          <cell r="C5151">
            <v>0</v>
          </cell>
          <cell r="N5151">
            <v>0</v>
          </cell>
          <cell r="O5151">
            <v>0</v>
          </cell>
          <cell r="AP5151">
            <v>0</v>
          </cell>
        </row>
        <row r="5152">
          <cell r="C5152">
            <v>0</v>
          </cell>
          <cell r="N5152">
            <v>0</v>
          </cell>
          <cell r="O5152">
            <v>0</v>
          </cell>
          <cell r="AP5152">
            <v>0</v>
          </cell>
        </row>
        <row r="5153">
          <cell r="C5153">
            <v>0</v>
          </cell>
          <cell r="N5153">
            <v>0</v>
          </cell>
          <cell r="O5153">
            <v>0</v>
          </cell>
          <cell r="AP5153">
            <v>0</v>
          </cell>
        </row>
        <row r="5154">
          <cell r="C5154">
            <v>0</v>
          </cell>
          <cell r="N5154">
            <v>0</v>
          </cell>
          <cell r="O5154">
            <v>0</v>
          </cell>
          <cell r="AP5154">
            <v>0</v>
          </cell>
        </row>
        <row r="5155">
          <cell r="C5155">
            <v>0</v>
          </cell>
          <cell r="N5155">
            <v>0</v>
          </cell>
          <cell r="O5155">
            <v>0</v>
          </cell>
          <cell r="AP5155">
            <v>0</v>
          </cell>
        </row>
        <row r="5156">
          <cell r="C5156">
            <v>0</v>
          </cell>
          <cell r="N5156">
            <v>0</v>
          </cell>
          <cell r="O5156">
            <v>0</v>
          </cell>
          <cell r="AP5156">
            <v>0</v>
          </cell>
        </row>
        <row r="5157">
          <cell r="C5157">
            <v>0</v>
          </cell>
          <cell r="N5157">
            <v>0</v>
          </cell>
          <cell r="O5157">
            <v>0</v>
          </cell>
          <cell r="AP5157">
            <v>0</v>
          </cell>
        </row>
        <row r="5158">
          <cell r="C5158">
            <v>0</v>
          </cell>
          <cell r="N5158">
            <v>0</v>
          </cell>
          <cell r="O5158">
            <v>0</v>
          </cell>
          <cell r="AP5158">
            <v>0</v>
          </cell>
        </row>
        <row r="5159">
          <cell r="C5159">
            <v>0</v>
          </cell>
          <cell r="N5159">
            <v>0</v>
          </cell>
          <cell r="O5159">
            <v>0</v>
          </cell>
          <cell r="AP5159">
            <v>0</v>
          </cell>
        </row>
        <row r="5160">
          <cell r="C5160">
            <v>0</v>
          </cell>
          <cell r="N5160">
            <v>0</v>
          </cell>
          <cell r="O5160">
            <v>0</v>
          </cell>
          <cell r="AP5160">
            <v>0</v>
          </cell>
        </row>
        <row r="5161">
          <cell r="C5161">
            <v>0</v>
          </cell>
          <cell r="N5161">
            <v>0</v>
          </cell>
          <cell r="O5161">
            <v>0</v>
          </cell>
          <cell r="AP5161">
            <v>0</v>
          </cell>
        </row>
        <row r="5162">
          <cell r="C5162">
            <v>0</v>
          </cell>
          <cell r="N5162">
            <v>0</v>
          </cell>
          <cell r="O5162">
            <v>0</v>
          </cell>
          <cell r="AP5162">
            <v>0</v>
          </cell>
        </row>
        <row r="5163">
          <cell r="C5163">
            <v>0</v>
          </cell>
          <cell r="N5163">
            <v>0</v>
          </cell>
          <cell r="O5163">
            <v>0</v>
          </cell>
          <cell r="AP5163">
            <v>0</v>
          </cell>
        </row>
        <row r="5164">
          <cell r="C5164">
            <v>0</v>
          </cell>
          <cell r="N5164">
            <v>0</v>
          </cell>
          <cell r="O5164">
            <v>0</v>
          </cell>
          <cell r="AP5164">
            <v>0</v>
          </cell>
        </row>
        <row r="5165">
          <cell r="C5165">
            <v>0</v>
          </cell>
          <cell r="N5165">
            <v>0</v>
          </cell>
          <cell r="O5165">
            <v>0</v>
          </cell>
          <cell r="AP5165">
            <v>0</v>
          </cell>
        </row>
        <row r="5166">
          <cell r="C5166">
            <v>0</v>
          </cell>
          <cell r="N5166">
            <v>0</v>
          </cell>
          <cell r="O5166">
            <v>0</v>
          </cell>
          <cell r="AP5166">
            <v>0</v>
          </cell>
        </row>
        <row r="5167">
          <cell r="C5167">
            <v>0</v>
          </cell>
          <cell r="N5167">
            <v>0</v>
          </cell>
          <cell r="O5167">
            <v>0</v>
          </cell>
          <cell r="AP5167">
            <v>0</v>
          </cell>
        </row>
        <row r="5168">
          <cell r="C5168">
            <v>0</v>
          </cell>
          <cell r="N5168">
            <v>0</v>
          </cell>
          <cell r="O5168">
            <v>0</v>
          </cell>
          <cell r="AP5168">
            <v>0</v>
          </cell>
        </row>
        <row r="5169">
          <cell r="C5169">
            <v>0</v>
          </cell>
          <cell r="N5169">
            <v>0</v>
          </cell>
          <cell r="O5169">
            <v>0</v>
          </cell>
          <cell r="AP5169">
            <v>0</v>
          </cell>
        </row>
        <row r="5170">
          <cell r="C5170">
            <v>0</v>
          </cell>
          <cell r="N5170">
            <v>0</v>
          </cell>
          <cell r="O5170">
            <v>0</v>
          </cell>
          <cell r="AP5170">
            <v>0</v>
          </cell>
        </row>
        <row r="5171">
          <cell r="C5171">
            <v>0</v>
          </cell>
          <cell r="N5171">
            <v>0</v>
          </cell>
          <cell r="O5171">
            <v>0</v>
          </cell>
          <cell r="AP5171">
            <v>0</v>
          </cell>
        </row>
        <row r="5172">
          <cell r="C5172">
            <v>0</v>
          </cell>
          <cell r="N5172">
            <v>0</v>
          </cell>
          <cell r="O5172">
            <v>0</v>
          </cell>
          <cell r="AP5172">
            <v>0</v>
          </cell>
        </row>
        <row r="5173">
          <cell r="C5173">
            <v>0</v>
          </cell>
          <cell r="N5173">
            <v>0</v>
          </cell>
          <cell r="O5173">
            <v>0</v>
          </cell>
          <cell r="AP5173">
            <v>0</v>
          </cell>
        </row>
        <row r="5174">
          <cell r="C5174">
            <v>0</v>
          </cell>
          <cell r="N5174">
            <v>0</v>
          </cell>
          <cell r="O5174">
            <v>0</v>
          </cell>
          <cell r="AP5174">
            <v>0</v>
          </cell>
        </row>
        <row r="5175">
          <cell r="C5175">
            <v>0</v>
          </cell>
          <cell r="N5175">
            <v>0</v>
          </cell>
          <cell r="O5175">
            <v>0</v>
          </cell>
          <cell r="AP5175">
            <v>0</v>
          </cell>
        </row>
        <row r="5176">
          <cell r="C5176">
            <v>0</v>
          </cell>
          <cell r="N5176">
            <v>0</v>
          </cell>
          <cell r="O5176">
            <v>0</v>
          </cell>
          <cell r="AP5176">
            <v>0</v>
          </cell>
        </row>
        <row r="5177">
          <cell r="C5177">
            <v>0</v>
          </cell>
          <cell r="N5177">
            <v>0</v>
          </cell>
          <cell r="O5177">
            <v>0</v>
          </cell>
          <cell r="AP5177">
            <v>0</v>
          </cell>
        </row>
        <row r="5178">
          <cell r="C5178">
            <v>0</v>
          </cell>
          <cell r="N5178">
            <v>0</v>
          </cell>
          <cell r="O5178">
            <v>0</v>
          </cell>
          <cell r="AP5178">
            <v>0</v>
          </cell>
        </row>
        <row r="5179">
          <cell r="C5179">
            <v>0</v>
          </cell>
          <cell r="N5179">
            <v>0</v>
          </cell>
          <cell r="O5179">
            <v>0</v>
          </cell>
          <cell r="AP5179">
            <v>0</v>
          </cell>
        </row>
        <row r="5180">
          <cell r="C5180">
            <v>0</v>
          </cell>
          <cell r="N5180">
            <v>0</v>
          </cell>
          <cell r="O5180">
            <v>0</v>
          </cell>
          <cell r="AP5180">
            <v>0</v>
          </cell>
        </row>
        <row r="5181">
          <cell r="C5181">
            <v>0</v>
          </cell>
          <cell r="N5181">
            <v>0</v>
          </cell>
          <cell r="O5181">
            <v>0</v>
          </cell>
          <cell r="AP5181">
            <v>0</v>
          </cell>
        </row>
        <row r="5182">
          <cell r="C5182">
            <v>0</v>
          </cell>
          <cell r="N5182">
            <v>0</v>
          </cell>
          <cell r="O5182">
            <v>0</v>
          </cell>
          <cell r="AP5182">
            <v>0</v>
          </cell>
        </row>
        <row r="5183">
          <cell r="C5183">
            <v>0</v>
          </cell>
          <cell r="N5183">
            <v>0</v>
          </cell>
          <cell r="O5183">
            <v>0</v>
          </cell>
          <cell r="AP5183">
            <v>0</v>
          </cell>
        </row>
        <row r="5184">
          <cell r="C5184">
            <v>0</v>
          </cell>
          <cell r="N5184">
            <v>0</v>
          </cell>
          <cell r="O5184">
            <v>0</v>
          </cell>
          <cell r="AP5184">
            <v>0</v>
          </cell>
        </row>
        <row r="5185">
          <cell r="C5185">
            <v>0</v>
          </cell>
          <cell r="N5185">
            <v>0</v>
          </cell>
          <cell r="O5185">
            <v>0</v>
          </cell>
          <cell r="AP5185">
            <v>0</v>
          </cell>
        </row>
        <row r="5186">
          <cell r="C5186">
            <v>0</v>
          </cell>
          <cell r="N5186">
            <v>0</v>
          </cell>
          <cell r="O5186">
            <v>0</v>
          </cell>
          <cell r="AP5186">
            <v>0</v>
          </cell>
        </row>
        <row r="5187">
          <cell r="C5187">
            <v>0</v>
          </cell>
          <cell r="N5187">
            <v>0</v>
          </cell>
          <cell r="O5187">
            <v>0</v>
          </cell>
          <cell r="AP5187">
            <v>0</v>
          </cell>
        </row>
        <row r="5188">
          <cell r="C5188">
            <v>0</v>
          </cell>
          <cell r="N5188">
            <v>0</v>
          </cell>
          <cell r="O5188">
            <v>0</v>
          </cell>
          <cell r="AP5188">
            <v>0</v>
          </cell>
        </row>
        <row r="5189">
          <cell r="C5189">
            <v>0</v>
          </cell>
          <cell r="N5189">
            <v>0</v>
          </cell>
          <cell r="O5189">
            <v>0</v>
          </cell>
          <cell r="AP5189">
            <v>0</v>
          </cell>
        </row>
        <row r="5190">
          <cell r="C5190">
            <v>0</v>
          </cell>
          <cell r="N5190">
            <v>0</v>
          </cell>
          <cell r="O5190">
            <v>0</v>
          </cell>
          <cell r="AP5190">
            <v>0</v>
          </cell>
        </row>
        <row r="5191">
          <cell r="C5191">
            <v>0</v>
          </cell>
          <cell r="N5191">
            <v>0</v>
          </cell>
          <cell r="O5191">
            <v>0</v>
          </cell>
          <cell r="AP5191">
            <v>0</v>
          </cell>
        </row>
        <row r="5192">
          <cell r="C5192">
            <v>0</v>
          </cell>
          <cell r="N5192">
            <v>0</v>
          </cell>
          <cell r="O5192">
            <v>0</v>
          </cell>
          <cell r="AP5192">
            <v>0</v>
          </cell>
        </row>
        <row r="5193">
          <cell r="C5193">
            <v>0</v>
          </cell>
          <cell r="N5193">
            <v>0</v>
          </cell>
          <cell r="O5193">
            <v>0</v>
          </cell>
          <cell r="AP5193">
            <v>0</v>
          </cell>
        </row>
        <row r="5194">
          <cell r="C5194">
            <v>0</v>
          </cell>
          <cell r="N5194">
            <v>0</v>
          </cell>
          <cell r="O5194">
            <v>0</v>
          </cell>
          <cell r="AP5194">
            <v>0</v>
          </cell>
        </row>
        <row r="5195">
          <cell r="C5195">
            <v>0</v>
          </cell>
          <cell r="N5195">
            <v>0</v>
          </cell>
          <cell r="O5195">
            <v>0</v>
          </cell>
          <cell r="AP5195">
            <v>0</v>
          </cell>
        </row>
        <row r="5196">
          <cell r="C5196">
            <v>0</v>
          </cell>
          <cell r="N5196">
            <v>0</v>
          </cell>
          <cell r="O5196">
            <v>0</v>
          </cell>
          <cell r="AP5196">
            <v>0</v>
          </cell>
        </row>
        <row r="5197">
          <cell r="C5197">
            <v>0</v>
          </cell>
          <cell r="N5197">
            <v>0</v>
          </cell>
          <cell r="O5197">
            <v>0</v>
          </cell>
          <cell r="AP5197">
            <v>0</v>
          </cell>
        </row>
        <row r="5198">
          <cell r="C5198">
            <v>0</v>
          </cell>
          <cell r="N5198">
            <v>0</v>
          </cell>
          <cell r="O5198">
            <v>0</v>
          </cell>
          <cell r="AP5198">
            <v>0</v>
          </cell>
        </row>
        <row r="5199">
          <cell r="C5199">
            <v>0</v>
          </cell>
          <cell r="N5199">
            <v>0</v>
          </cell>
          <cell r="O5199">
            <v>0</v>
          </cell>
          <cell r="AP5199">
            <v>0</v>
          </cell>
        </row>
        <row r="5200">
          <cell r="C5200">
            <v>0</v>
          </cell>
          <cell r="N5200">
            <v>0</v>
          </cell>
          <cell r="O5200">
            <v>0</v>
          </cell>
          <cell r="AP5200">
            <v>0</v>
          </cell>
        </row>
        <row r="5201">
          <cell r="C5201">
            <v>0</v>
          </cell>
          <cell r="N5201">
            <v>0</v>
          </cell>
          <cell r="O5201">
            <v>0</v>
          </cell>
          <cell r="AP5201">
            <v>0</v>
          </cell>
        </row>
        <row r="5202">
          <cell r="C5202">
            <v>0</v>
          </cell>
          <cell r="N5202">
            <v>0</v>
          </cell>
          <cell r="O5202">
            <v>0</v>
          </cell>
          <cell r="AP5202">
            <v>0</v>
          </cell>
        </row>
        <row r="5203">
          <cell r="C5203">
            <v>0</v>
          </cell>
          <cell r="N5203">
            <v>0</v>
          </cell>
          <cell r="O5203">
            <v>0</v>
          </cell>
          <cell r="AP5203">
            <v>0</v>
          </cell>
        </row>
        <row r="5204">
          <cell r="C5204">
            <v>0</v>
          </cell>
          <cell r="N5204">
            <v>0</v>
          </cell>
          <cell r="O5204">
            <v>0</v>
          </cell>
          <cell r="AP5204">
            <v>0</v>
          </cell>
        </row>
        <row r="5205">
          <cell r="C5205">
            <v>0</v>
          </cell>
          <cell r="N5205">
            <v>0</v>
          </cell>
          <cell r="O5205">
            <v>0</v>
          </cell>
          <cell r="AP5205">
            <v>0</v>
          </cell>
        </row>
        <row r="5206">
          <cell r="C5206">
            <v>0</v>
          </cell>
          <cell r="N5206">
            <v>0</v>
          </cell>
          <cell r="O5206">
            <v>0</v>
          </cell>
          <cell r="AP5206">
            <v>0</v>
          </cell>
        </row>
        <row r="5207">
          <cell r="C5207">
            <v>0</v>
          </cell>
          <cell r="N5207">
            <v>0</v>
          </cell>
          <cell r="O5207">
            <v>0</v>
          </cell>
          <cell r="AP5207">
            <v>0</v>
          </cell>
        </row>
        <row r="5208">
          <cell r="C5208">
            <v>0</v>
          </cell>
          <cell r="N5208">
            <v>0</v>
          </cell>
          <cell r="O5208">
            <v>0</v>
          </cell>
          <cell r="AP5208">
            <v>0</v>
          </cell>
        </row>
        <row r="5209">
          <cell r="C5209">
            <v>0</v>
          </cell>
          <cell r="N5209">
            <v>0</v>
          </cell>
          <cell r="O5209">
            <v>0</v>
          </cell>
          <cell r="AP5209">
            <v>0</v>
          </cell>
        </row>
        <row r="5210">
          <cell r="C5210">
            <v>0</v>
          </cell>
          <cell r="N5210">
            <v>0</v>
          </cell>
          <cell r="O5210">
            <v>0</v>
          </cell>
          <cell r="AP5210">
            <v>0</v>
          </cell>
        </row>
        <row r="5211">
          <cell r="C5211">
            <v>0</v>
          </cell>
          <cell r="N5211">
            <v>0</v>
          </cell>
          <cell r="O5211">
            <v>0</v>
          </cell>
          <cell r="AP5211">
            <v>0</v>
          </cell>
        </row>
        <row r="5212">
          <cell r="C5212">
            <v>0</v>
          </cell>
          <cell r="N5212">
            <v>0</v>
          </cell>
          <cell r="O5212">
            <v>0</v>
          </cell>
          <cell r="AP5212">
            <v>0</v>
          </cell>
        </row>
        <row r="5213">
          <cell r="C5213">
            <v>0</v>
          </cell>
          <cell r="N5213">
            <v>0</v>
          </cell>
          <cell r="O5213">
            <v>0</v>
          </cell>
          <cell r="AP5213">
            <v>0</v>
          </cell>
        </row>
        <row r="5214">
          <cell r="C5214">
            <v>0</v>
          </cell>
          <cell r="N5214">
            <v>0</v>
          </cell>
          <cell r="O5214">
            <v>0</v>
          </cell>
          <cell r="AP5214">
            <v>0</v>
          </cell>
        </row>
        <row r="5215">
          <cell r="C5215">
            <v>0</v>
          </cell>
          <cell r="N5215">
            <v>0</v>
          </cell>
          <cell r="O5215">
            <v>0</v>
          </cell>
          <cell r="AP5215">
            <v>0</v>
          </cell>
        </row>
        <row r="5216">
          <cell r="C5216">
            <v>0</v>
          </cell>
          <cell r="N5216">
            <v>0</v>
          </cell>
          <cell r="O5216">
            <v>0</v>
          </cell>
          <cell r="AP5216">
            <v>0</v>
          </cell>
        </row>
        <row r="5217">
          <cell r="C5217">
            <v>0</v>
          </cell>
          <cell r="N5217">
            <v>0</v>
          </cell>
          <cell r="O5217">
            <v>0</v>
          </cell>
          <cell r="AP5217">
            <v>0</v>
          </cell>
        </row>
        <row r="5218">
          <cell r="C5218">
            <v>0</v>
          </cell>
          <cell r="N5218">
            <v>0</v>
          </cell>
          <cell r="O5218">
            <v>0</v>
          </cell>
          <cell r="AP5218">
            <v>0</v>
          </cell>
        </row>
        <row r="5219">
          <cell r="C5219">
            <v>0</v>
          </cell>
          <cell r="N5219">
            <v>0</v>
          </cell>
          <cell r="O5219">
            <v>0</v>
          </cell>
          <cell r="AP5219">
            <v>0</v>
          </cell>
        </row>
        <row r="5220">
          <cell r="C5220">
            <v>0</v>
          </cell>
          <cell r="N5220">
            <v>0</v>
          </cell>
          <cell r="O5220">
            <v>0</v>
          </cell>
          <cell r="AP5220">
            <v>0</v>
          </cell>
        </row>
        <row r="5221">
          <cell r="C5221">
            <v>0</v>
          </cell>
          <cell r="N5221">
            <v>0</v>
          </cell>
          <cell r="O5221">
            <v>0</v>
          </cell>
          <cell r="AP5221">
            <v>0</v>
          </cell>
        </row>
        <row r="5222">
          <cell r="C5222">
            <v>0</v>
          </cell>
          <cell r="N5222">
            <v>0</v>
          </cell>
          <cell r="O5222">
            <v>0</v>
          </cell>
          <cell r="AP5222">
            <v>0</v>
          </cell>
        </row>
        <row r="5223">
          <cell r="C5223">
            <v>0</v>
          </cell>
          <cell r="N5223">
            <v>0</v>
          </cell>
          <cell r="O5223">
            <v>0</v>
          </cell>
          <cell r="AP5223">
            <v>0</v>
          </cell>
        </row>
        <row r="5224">
          <cell r="C5224">
            <v>0</v>
          </cell>
          <cell r="N5224">
            <v>0</v>
          </cell>
          <cell r="O5224">
            <v>0</v>
          </cell>
          <cell r="AP5224">
            <v>0</v>
          </cell>
        </row>
        <row r="5225">
          <cell r="C5225">
            <v>0</v>
          </cell>
          <cell r="N5225">
            <v>0</v>
          </cell>
          <cell r="O5225">
            <v>0</v>
          </cell>
          <cell r="AP5225">
            <v>0</v>
          </cell>
        </row>
        <row r="5226">
          <cell r="C5226">
            <v>0</v>
          </cell>
          <cell r="N5226">
            <v>0</v>
          </cell>
          <cell r="O5226">
            <v>0</v>
          </cell>
          <cell r="AP5226">
            <v>0</v>
          </cell>
        </row>
        <row r="5227">
          <cell r="C5227">
            <v>0</v>
          </cell>
          <cell r="N5227">
            <v>0</v>
          </cell>
          <cell r="O5227">
            <v>0</v>
          </cell>
          <cell r="AP5227">
            <v>0</v>
          </cell>
        </row>
        <row r="5228">
          <cell r="C5228">
            <v>0</v>
          </cell>
          <cell r="N5228">
            <v>0</v>
          </cell>
          <cell r="O5228">
            <v>0</v>
          </cell>
          <cell r="AP5228">
            <v>0</v>
          </cell>
        </row>
        <row r="5229">
          <cell r="C5229">
            <v>0</v>
          </cell>
          <cell r="N5229">
            <v>0</v>
          </cell>
          <cell r="O5229">
            <v>0</v>
          </cell>
          <cell r="AP5229">
            <v>0</v>
          </cell>
        </row>
        <row r="5230">
          <cell r="C5230">
            <v>0</v>
          </cell>
          <cell r="N5230">
            <v>0</v>
          </cell>
          <cell r="O5230">
            <v>0</v>
          </cell>
          <cell r="AP5230">
            <v>0</v>
          </cell>
        </row>
        <row r="5231">
          <cell r="C5231">
            <v>0</v>
          </cell>
          <cell r="N5231">
            <v>0</v>
          </cell>
          <cell r="O5231">
            <v>0</v>
          </cell>
          <cell r="AP5231">
            <v>0</v>
          </cell>
        </row>
        <row r="5232">
          <cell r="C5232">
            <v>0</v>
          </cell>
          <cell r="N5232">
            <v>0</v>
          </cell>
          <cell r="O5232">
            <v>0</v>
          </cell>
          <cell r="AP5232">
            <v>0</v>
          </cell>
        </row>
        <row r="5233">
          <cell r="C5233">
            <v>0</v>
          </cell>
          <cell r="N5233">
            <v>0</v>
          </cell>
          <cell r="O5233">
            <v>0</v>
          </cell>
          <cell r="AP5233">
            <v>0</v>
          </cell>
        </row>
        <row r="5234">
          <cell r="C5234">
            <v>0</v>
          </cell>
          <cell r="N5234">
            <v>0</v>
          </cell>
          <cell r="O5234">
            <v>0</v>
          </cell>
          <cell r="AP5234">
            <v>0</v>
          </cell>
        </row>
        <row r="5235">
          <cell r="C5235">
            <v>0</v>
          </cell>
          <cell r="N5235">
            <v>0</v>
          </cell>
          <cell r="O5235">
            <v>0</v>
          </cell>
          <cell r="AP5235">
            <v>0</v>
          </cell>
        </row>
        <row r="5236">
          <cell r="C5236">
            <v>0</v>
          </cell>
          <cell r="N5236">
            <v>0</v>
          </cell>
          <cell r="O5236">
            <v>0</v>
          </cell>
          <cell r="AP5236">
            <v>0</v>
          </cell>
        </row>
        <row r="5237">
          <cell r="C5237">
            <v>0</v>
          </cell>
          <cell r="N5237">
            <v>0</v>
          </cell>
          <cell r="O5237">
            <v>0</v>
          </cell>
          <cell r="AP5237">
            <v>0</v>
          </cell>
        </row>
        <row r="5238">
          <cell r="C5238">
            <v>0</v>
          </cell>
          <cell r="N5238">
            <v>0</v>
          </cell>
          <cell r="O5238">
            <v>0</v>
          </cell>
          <cell r="AP5238">
            <v>0</v>
          </cell>
        </row>
        <row r="5239">
          <cell r="C5239">
            <v>0</v>
          </cell>
          <cell r="N5239">
            <v>0</v>
          </cell>
          <cell r="O5239">
            <v>0</v>
          </cell>
          <cell r="AP5239">
            <v>0</v>
          </cell>
        </row>
        <row r="5240">
          <cell r="C5240">
            <v>0</v>
          </cell>
          <cell r="N5240">
            <v>0</v>
          </cell>
          <cell r="O5240">
            <v>0</v>
          </cell>
          <cell r="AP5240">
            <v>0</v>
          </cell>
        </row>
        <row r="5241">
          <cell r="C5241">
            <v>0</v>
          </cell>
          <cell r="N5241">
            <v>0</v>
          </cell>
          <cell r="O5241">
            <v>0</v>
          </cell>
          <cell r="AP5241">
            <v>0</v>
          </cell>
        </row>
        <row r="5242">
          <cell r="C5242">
            <v>0</v>
          </cell>
          <cell r="N5242">
            <v>0</v>
          </cell>
          <cell r="O5242">
            <v>0</v>
          </cell>
          <cell r="AP5242">
            <v>0</v>
          </cell>
        </row>
        <row r="5243">
          <cell r="C5243">
            <v>0</v>
          </cell>
          <cell r="N5243">
            <v>0</v>
          </cell>
          <cell r="O5243">
            <v>0</v>
          </cell>
          <cell r="AP5243">
            <v>0</v>
          </cell>
        </row>
        <row r="5244">
          <cell r="C5244">
            <v>0</v>
          </cell>
          <cell r="N5244">
            <v>0</v>
          </cell>
          <cell r="O5244">
            <v>0</v>
          </cell>
          <cell r="AP5244">
            <v>0</v>
          </cell>
        </row>
        <row r="5245">
          <cell r="C5245">
            <v>0</v>
          </cell>
          <cell r="N5245">
            <v>0</v>
          </cell>
          <cell r="O5245">
            <v>0</v>
          </cell>
          <cell r="AP5245">
            <v>0</v>
          </cell>
        </row>
        <row r="5246">
          <cell r="C5246">
            <v>0</v>
          </cell>
          <cell r="N5246">
            <v>0</v>
          </cell>
          <cell r="O5246">
            <v>0</v>
          </cell>
          <cell r="AP5246">
            <v>0</v>
          </cell>
        </row>
        <row r="5247">
          <cell r="C5247">
            <v>0</v>
          </cell>
          <cell r="N5247">
            <v>0</v>
          </cell>
          <cell r="O5247">
            <v>0</v>
          </cell>
          <cell r="AP5247">
            <v>0</v>
          </cell>
        </row>
        <row r="5248">
          <cell r="C5248">
            <v>0</v>
          </cell>
          <cell r="N5248">
            <v>0</v>
          </cell>
          <cell r="O5248">
            <v>0</v>
          </cell>
          <cell r="AP5248">
            <v>0</v>
          </cell>
        </row>
        <row r="5249">
          <cell r="C5249">
            <v>0</v>
          </cell>
          <cell r="N5249">
            <v>0</v>
          </cell>
          <cell r="O5249">
            <v>0</v>
          </cell>
          <cell r="AP5249">
            <v>0</v>
          </cell>
        </row>
        <row r="5250">
          <cell r="C5250">
            <v>0</v>
          </cell>
          <cell r="N5250">
            <v>0</v>
          </cell>
          <cell r="O5250">
            <v>0</v>
          </cell>
          <cell r="AP5250">
            <v>0</v>
          </cell>
        </row>
        <row r="5251">
          <cell r="C5251">
            <v>0</v>
          </cell>
          <cell r="N5251">
            <v>0</v>
          </cell>
          <cell r="O5251">
            <v>0</v>
          </cell>
          <cell r="AP5251">
            <v>0</v>
          </cell>
        </row>
        <row r="5252">
          <cell r="C5252">
            <v>0</v>
          </cell>
          <cell r="N5252">
            <v>0</v>
          </cell>
          <cell r="O5252">
            <v>0</v>
          </cell>
          <cell r="AP5252">
            <v>0</v>
          </cell>
        </row>
        <row r="5253">
          <cell r="C5253">
            <v>0</v>
          </cell>
          <cell r="N5253">
            <v>0</v>
          </cell>
          <cell r="O5253">
            <v>0</v>
          </cell>
          <cell r="AP5253">
            <v>0</v>
          </cell>
        </row>
        <row r="5254">
          <cell r="C5254">
            <v>0</v>
          </cell>
          <cell r="N5254">
            <v>0</v>
          </cell>
          <cell r="O5254">
            <v>0</v>
          </cell>
          <cell r="AP5254">
            <v>0</v>
          </cell>
        </row>
        <row r="5255">
          <cell r="C5255">
            <v>0</v>
          </cell>
          <cell r="N5255">
            <v>0</v>
          </cell>
          <cell r="O5255">
            <v>0</v>
          </cell>
          <cell r="AP5255">
            <v>0</v>
          </cell>
        </row>
        <row r="5256">
          <cell r="C5256">
            <v>0</v>
          </cell>
          <cell r="N5256">
            <v>0</v>
          </cell>
          <cell r="O5256">
            <v>0</v>
          </cell>
          <cell r="AP5256">
            <v>0</v>
          </cell>
        </row>
        <row r="5257">
          <cell r="C5257">
            <v>0</v>
          </cell>
          <cell r="N5257">
            <v>0</v>
          </cell>
          <cell r="O5257">
            <v>0</v>
          </cell>
          <cell r="AP5257">
            <v>0</v>
          </cell>
        </row>
        <row r="5258">
          <cell r="C5258">
            <v>0</v>
          </cell>
          <cell r="N5258">
            <v>0</v>
          </cell>
          <cell r="O5258">
            <v>0</v>
          </cell>
          <cell r="AP5258">
            <v>0</v>
          </cell>
        </row>
        <row r="5259">
          <cell r="C5259">
            <v>0</v>
          </cell>
          <cell r="N5259">
            <v>0</v>
          </cell>
          <cell r="O5259">
            <v>0</v>
          </cell>
          <cell r="AP5259">
            <v>0</v>
          </cell>
        </row>
        <row r="5260">
          <cell r="C5260">
            <v>0</v>
          </cell>
          <cell r="N5260">
            <v>0</v>
          </cell>
          <cell r="O5260">
            <v>0</v>
          </cell>
          <cell r="AP5260">
            <v>0</v>
          </cell>
        </row>
        <row r="5261">
          <cell r="C5261">
            <v>0</v>
          </cell>
          <cell r="N5261">
            <v>0</v>
          </cell>
          <cell r="O5261">
            <v>0</v>
          </cell>
          <cell r="AP5261">
            <v>0</v>
          </cell>
        </row>
        <row r="5262">
          <cell r="C5262">
            <v>0</v>
          </cell>
          <cell r="N5262">
            <v>0</v>
          </cell>
          <cell r="O5262">
            <v>0</v>
          </cell>
          <cell r="AP5262">
            <v>0</v>
          </cell>
        </row>
        <row r="5263">
          <cell r="C5263">
            <v>0</v>
          </cell>
          <cell r="N5263">
            <v>0</v>
          </cell>
          <cell r="O5263">
            <v>0</v>
          </cell>
          <cell r="AP5263">
            <v>0</v>
          </cell>
        </row>
        <row r="5264">
          <cell r="C5264">
            <v>0</v>
          </cell>
          <cell r="N5264">
            <v>0</v>
          </cell>
          <cell r="O5264">
            <v>0</v>
          </cell>
          <cell r="AP5264">
            <v>0</v>
          </cell>
        </row>
        <row r="5265">
          <cell r="C5265">
            <v>0</v>
          </cell>
          <cell r="N5265">
            <v>0</v>
          </cell>
          <cell r="O5265">
            <v>0</v>
          </cell>
          <cell r="AP5265">
            <v>0</v>
          </cell>
        </row>
        <row r="5266">
          <cell r="C5266">
            <v>0</v>
          </cell>
          <cell r="N5266">
            <v>0</v>
          </cell>
          <cell r="O5266">
            <v>0</v>
          </cell>
          <cell r="AP5266">
            <v>0</v>
          </cell>
        </row>
        <row r="5267">
          <cell r="C5267">
            <v>0</v>
          </cell>
          <cell r="N5267">
            <v>0</v>
          </cell>
          <cell r="O5267">
            <v>0</v>
          </cell>
          <cell r="AP5267">
            <v>0</v>
          </cell>
        </row>
        <row r="5268">
          <cell r="C5268">
            <v>0</v>
          </cell>
          <cell r="N5268">
            <v>0</v>
          </cell>
          <cell r="O5268">
            <v>0</v>
          </cell>
          <cell r="AP5268">
            <v>0</v>
          </cell>
        </row>
        <row r="5269">
          <cell r="C5269">
            <v>0</v>
          </cell>
          <cell r="N5269">
            <v>0</v>
          </cell>
          <cell r="O5269">
            <v>0</v>
          </cell>
          <cell r="AP5269">
            <v>0</v>
          </cell>
        </row>
        <row r="5270">
          <cell r="C5270">
            <v>0</v>
          </cell>
          <cell r="N5270">
            <v>0</v>
          </cell>
          <cell r="O5270">
            <v>0</v>
          </cell>
          <cell r="AP5270">
            <v>0</v>
          </cell>
        </row>
        <row r="5271">
          <cell r="C5271">
            <v>0</v>
          </cell>
          <cell r="N5271">
            <v>0</v>
          </cell>
          <cell r="O5271">
            <v>0</v>
          </cell>
          <cell r="AP5271">
            <v>0</v>
          </cell>
        </row>
        <row r="5272">
          <cell r="C5272">
            <v>0</v>
          </cell>
          <cell r="N5272">
            <v>0</v>
          </cell>
          <cell r="O5272">
            <v>0</v>
          </cell>
          <cell r="AP5272">
            <v>0</v>
          </cell>
        </row>
        <row r="5273">
          <cell r="C5273">
            <v>0</v>
          </cell>
          <cell r="N5273">
            <v>0</v>
          </cell>
          <cell r="O5273">
            <v>0</v>
          </cell>
          <cell r="AP5273">
            <v>0</v>
          </cell>
        </row>
        <row r="5274">
          <cell r="C5274">
            <v>0</v>
          </cell>
          <cell r="N5274">
            <v>0</v>
          </cell>
          <cell r="O5274">
            <v>0</v>
          </cell>
          <cell r="AP5274">
            <v>0</v>
          </cell>
        </row>
        <row r="5275">
          <cell r="C5275">
            <v>0</v>
          </cell>
          <cell r="N5275">
            <v>0</v>
          </cell>
          <cell r="O5275">
            <v>0</v>
          </cell>
          <cell r="AP5275">
            <v>0</v>
          </cell>
        </row>
        <row r="5276">
          <cell r="C5276">
            <v>0</v>
          </cell>
          <cell r="N5276">
            <v>0</v>
          </cell>
          <cell r="O5276">
            <v>0</v>
          </cell>
          <cell r="AP5276">
            <v>0</v>
          </cell>
        </row>
        <row r="5277">
          <cell r="C5277">
            <v>0</v>
          </cell>
          <cell r="N5277">
            <v>0</v>
          </cell>
          <cell r="O5277">
            <v>0</v>
          </cell>
          <cell r="AP5277">
            <v>0</v>
          </cell>
        </row>
        <row r="5278">
          <cell r="C5278">
            <v>0</v>
          </cell>
          <cell r="N5278">
            <v>0</v>
          </cell>
          <cell r="O5278">
            <v>0</v>
          </cell>
          <cell r="AP5278">
            <v>0</v>
          </cell>
        </row>
        <row r="5279">
          <cell r="C5279">
            <v>0</v>
          </cell>
          <cell r="N5279">
            <v>0</v>
          </cell>
          <cell r="O5279">
            <v>0</v>
          </cell>
          <cell r="AP5279">
            <v>0</v>
          </cell>
        </row>
        <row r="5280">
          <cell r="C5280">
            <v>0</v>
          </cell>
          <cell r="N5280">
            <v>0</v>
          </cell>
          <cell r="O5280">
            <v>0</v>
          </cell>
          <cell r="AP5280">
            <v>0</v>
          </cell>
        </row>
        <row r="5281">
          <cell r="C5281">
            <v>0</v>
          </cell>
          <cell r="N5281">
            <v>0</v>
          </cell>
          <cell r="O5281">
            <v>0</v>
          </cell>
          <cell r="AP5281">
            <v>0</v>
          </cell>
        </row>
        <row r="5282">
          <cell r="C5282">
            <v>0</v>
          </cell>
          <cell r="N5282">
            <v>0</v>
          </cell>
          <cell r="O5282">
            <v>0</v>
          </cell>
          <cell r="AP5282">
            <v>0</v>
          </cell>
        </row>
        <row r="5283">
          <cell r="C5283">
            <v>0</v>
          </cell>
          <cell r="N5283">
            <v>0</v>
          </cell>
          <cell r="O5283">
            <v>0</v>
          </cell>
          <cell r="AP5283">
            <v>0</v>
          </cell>
        </row>
        <row r="5284">
          <cell r="C5284">
            <v>0</v>
          </cell>
          <cell r="N5284">
            <v>0</v>
          </cell>
          <cell r="O5284">
            <v>0</v>
          </cell>
          <cell r="AP5284">
            <v>0</v>
          </cell>
        </row>
        <row r="5285">
          <cell r="C5285">
            <v>0</v>
          </cell>
          <cell r="N5285">
            <v>0</v>
          </cell>
          <cell r="O5285">
            <v>0</v>
          </cell>
          <cell r="AP5285">
            <v>0</v>
          </cell>
        </row>
        <row r="5286">
          <cell r="C5286">
            <v>0</v>
          </cell>
          <cell r="N5286">
            <v>0</v>
          </cell>
          <cell r="O5286">
            <v>0</v>
          </cell>
          <cell r="AP5286">
            <v>0</v>
          </cell>
        </row>
        <row r="5287">
          <cell r="C5287">
            <v>0</v>
          </cell>
          <cell r="N5287">
            <v>0</v>
          </cell>
          <cell r="O5287">
            <v>0</v>
          </cell>
          <cell r="AP5287">
            <v>0</v>
          </cell>
        </row>
        <row r="5288">
          <cell r="C5288">
            <v>0</v>
          </cell>
          <cell r="N5288">
            <v>0</v>
          </cell>
          <cell r="O5288">
            <v>0</v>
          </cell>
          <cell r="AP5288">
            <v>0</v>
          </cell>
        </row>
        <row r="5289">
          <cell r="C5289">
            <v>0</v>
          </cell>
          <cell r="N5289">
            <v>0</v>
          </cell>
          <cell r="O5289">
            <v>0</v>
          </cell>
          <cell r="AP5289">
            <v>0</v>
          </cell>
        </row>
        <row r="5290">
          <cell r="C5290">
            <v>0</v>
          </cell>
          <cell r="N5290">
            <v>0</v>
          </cell>
          <cell r="O5290">
            <v>0</v>
          </cell>
          <cell r="AP5290">
            <v>0</v>
          </cell>
        </row>
        <row r="5291">
          <cell r="C5291">
            <v>0</v>
          </cell>
          <cell r="N5291">
            <v>0</v>
          </cell>
          <cell r="O5291">
            <v>0</v>
          </cell>
          <cell r="AP5291">
            <v>0</v>
          </cell>
        </row>
        <row r="5292">
          <cell r="C5292">
            <v>0</v>
          </cell>
          <cell r="N5292">
            <v>0</v>
          </cell>
          <cell r="O5292">
            <v>0</v>
          </cell>
          <cell r="AP5292">
            <v>0</v>
          </cell>
        </row>
        <row r="5293">
          <cell r="C5293">
            <v>0</v>
          </cell>
          <cell r="N5293">
            <v>0</v>
          </cell>
          <cell r="O5293">
            <v>0</v>
          </cell>
          <cell r="AP5293">
            <v>0</v>
          </cell>
        </row>
        <row r="5294">
          <cell r="C5294">
            <v>0</v>
          </cell>
          <cell r="N5294">
            <v>0</v>
          </cell>
          <cell r="O5294">
            <v>0</v>
          </cell>
          <cell r="AP5294">
            <v>0</v>
          </cell>
        </row>
        <row r="5295">
          <cell r="C5295">
            <v>0</v>
          </cell>
          <cell r="N5295">
            <v>0</v>
          </cell>
          <cell r="O5295">
            <v>0</v>
          </cell>
          <cell r="AP5295">
            <v>0</v>
          </cell>
        </row>
        <row r="5296">
          <cell r="C5296">
            <v>0</v>
          </cell>
          <cell r="N5296">
            <v>0</v>
          </cell>
          <cell r="O5296">
            <v>0</v>
          </cell>
          <cell r="AP5296">
            <v>0</v>
          </cell>
        </row>
        <row r="5297">
          <cell r="C5297">
            <v>0</v>
          </cell>
          <cell r="N5297">
            <v>0</v>
          </cell>
          <cell r="O5297">
            <v>0</v>
          </cell>
          <cell r="AP5297">
            <v>0</v>
          </cell>
        </row>
        <row r="5298">
          <cell r="C5298">
            <v>0</v>
          </cell>
          <cell r="N5298">
            <v>0</v>
          </cell>
          <cell r="O5298">
            <v>0</v>
          </cell>
          <cell r="AP5298">
            <v>0</v>
          </cell>
        </row>
        <row r="5299">
          <cell r="C5299">
            <v>0</v>
          </cell>
          <cell r="N5299">
            <v>0</v>
          </cell>
          <cell r="O5299">
            <v>0</v>
          </cell>
          <cell r="AP5299">
            <v>0</v>
          </cell>
        </row>
        <row r="5300">
          <cell r="C5300">
            <v>0</v>
          </cell>
          <cell r="N5300">
            <v>0</v>
          </cell>
          <cell r="O5300">
            <v>0</v>
          </cell>
          <cell r="AP5300">
            <v>0</v>
          </cell>
        </row>
        <row r="5301">
          <cell r="C5301">
            <v>0</v>
          </cell>
          <cell r="N5301">
            <v>0</v>
          </cell>
          <cell r="O5301">
            <v>0</v>
          </cell>
          <cell r="AP5301">
            <v>0</v>
          </cell>
        </row>
        <row r="5302">
          <cell r="C5302">
            <v>0</v>
          </cell>
          <cell r="N5302">
            <v>0</v>
          </cell>
          <cell r="O5302">
            <v>0</v>
          </cell>
          <cell r="AP5302">
            <v>0</v>
          </cell>
        </row>
        <row r="5303">
          <cell r="C5303">
            <v>0</v>
          </cell>
          <cell r="N5303">
            <v>0</v>
          </cell>
          <cell r="O5303">
            <v>0</v>
          </cell>
          <cell r="AP5303">
            <v>0</v>
          </cell>
        </row>
        <row r="5304">
          <cell r="C5304">
            <v>0</v>
          </cell>
          <cell r="N5304">
            <v>0</v>
          </cell>
          <cell r="O5304">
            <v>0</v>
          </cell>
          <cell r="AP5304">
            <v>0</v>
          </cell>
        </row>
        <row r="5305">
          <cell r="C5305">
            <v>0</v>
          </cell>
          <cell r="N5305">
            <v>0</v>
          </cell>
          <cell r="O5305">
            <v>0</v>
          </cell>
          <cell r="AP5305">
            <v>0</v>
          </cell>
        </row>
        <row r="5306">
          <cell r="C5306">
            <v>0</v>
          </cell>
          <cell r="N5306">
            <v>0</v>
          </cell>
          <cell r="O5306">
            <v>0</v>
          </cell>
          <cell r="AP5306">
            <v>0</v>
          </cell>
        </row>
        <row r="5307">
          <cell r="C5307">
            <v>0</v>
          </cell>
          <cell r="N5307">
            <v>0</v>
          </cell>
          <cell r="O5307">
            <v>0</v>
          </cell>
          <cell r="AP5307">
            <v>0</v>
          </cell>
        </row>
        <row r="5308">
          <cell r="C5308">
            <v>0</v>
          </cell>
          <cell r="N5308">
            <v>0</v>
          </cell>
          <cell r="O5308">
            <v>0</v>
          </cell>
          <cell r="AP5308">
            <v>0</v>
          </cell>
        </row>
        <row r="5309">
          <cell r="C5309">
            <v>0</v>
          </cell>
          <cell r="N5309">
            <v>0</v>
          </cell>
          <cell r="O5309">
            <v>0</v>
          </cell>
          <cell r="AP5309">
            <v>0</v>
          </cell>
        </row>
        <row r="5310">
          <cell r="C5310">
            <v>0</v>
          </cell>
          <cell r="N5310">
            <v>0</v>
          </cell>
          <cell r="O5310">
            <v>0</v>
          </cell>
          <cell r="AP5310">
            <v>0</v>
          </cell>
        </row>
        <row r="5311">
          <cell r="C5311">
            <v>0</v>
          </cell>
          <cell r="N5311">
            <v>0</v>
          </cell>
          <cell r="O5311">
            <v>0</v>
          </cell>
          <cell r="AP5311">
            <v>0</v>
          </cell>
        </row>
        <row r="5312">
          <cell r="C5312">
            <v>0</v>
          </cell>
          <cell r="N5312">
            <v>0</v>
          </cell>
          <cell r="O5312">
            <v>0</v>
          </cell>
          <cell r="AP5312">
            <v>0</v>
          </cell>
        </row>
        <row r="5313">
          <cell r="C5313">
            <v>0</v>
          </cell>
          <cell r="N5313">
            <v>0</v>
          </cell>
          <cell r="O5313">
            <v>0</v>
          </cell>
          <cell r="AP5313">
            <v>0</v>
          </cell>
        </row>
        <row r="5314">
          <cell r="C5314">
            <v>0</v>
          </cell>
          <cell r="N5314">
            <v>0</v>
          </cell>
          <cell r="O5314">
            <v>0</v>
          </cell>
          <cell r="AP5314">
            <v>0</v>
          </cell>
        </row>
        <row r="5315">
          <cell r="C5315">
            <v>0</v>
          </cell>
          <cell r="N5315">
            <v>0</v>
          </cell>
          <cell r="O5315">
            <v>0</v>
          </cell>
          <cell r="AP5315">
            <v>0</v>
          </cell>
        </row>
        <row r="5316">
          <cell r="C5316">
            <v>0</v>
          </cell>
          <cell r="N5316">
            <v>0</v>
          </cell>
          <cell r="O5316">
            <v>0</v>
          </cell>
          <cell r="AP5316">
            <v>0</v>
          </cell>
        </row>
        <row r="5317">
          <cell r="C5317">
            <v>0</v>
          </cell>
          <cell r="N5317">
            <v>0</v>
          </cell>
          <cell r="O5317">
            <v>0</v>
          </cell>
          <cell r="AP5317">
            <v>0</v>
          </cell>
        </row>
        <row r="5318">
          <cell r="C5318">
            <v>0</v>
          </cell>
          <cell r="N5318">
            <v>0</v>
          </cell>
          <cell r="O5318">
            <v>0</v>
          </cell>
          <cell r="AP5318">
            <v>0</v>
          </cell>
        </row>
        <row r="5319">
          <cell r="C5319">
            <v>0</v>
          </cell>
          <cell r="N5319">
            <v>0</v>
          </cell>
          <cell r="O5319">
            <v>0</v>
          </cell>
          <cell r="AP5319">
            <v>0</v>
          </cell>
        </row>
        <row r="5320">
          <cell r="C5320">
            <v>0</v>
          </cell>
          <cell r="N5320">
            <v>0</v>
          </cell>
          <cell r="O5320">
            <v>0</v>
          </cell>
          <cell r="AP5320">
            <v>0</v>
          </cell>
        </row>
        <row r="5321">
          <cell r="C5321">
            <v>0</v>
          </cell>
          <cell r="N5321">
            <v>0</v>
          </cell>
          <cell r="O5321">
            <v>0</v>
          </cell>
          <cell r="AP5321">
            <v>0</v>
          </cell>
        </row>
        <row r="5322">
          <cell r="C5322">
            <v>0</v>
          </cell>
          <cell r="N5322">
            <v>0</v>
          </cell>
          <cell r="O5322">
            <v>0</v>
          </cell>
          <cell r="AP5322">
            <v>0</v>
          </cell>
        </row>
        <row r="5323">
          <cell r="C5323">
            <v>0</v>
          </cell>
          <cell r="N5323">
            <v>0</v>
          </cell>
          <cell r="O5323">
            <v>0</v>
          </cell>
          <cell r="AP5323">
            <v>0</v>
          </cell>
        </row>
        <row r="5324">
          <cell r="C5324">
            <v>0</v>
          </cell>
          <cell r="N5324">
            <v>0</v>
          </cell>
          <cell r="O5324">
            <v>0</v>
          </cell>
          <cell r="AP5324">
            <v>0</v>
          </cell>
        </row>
        <row r="5325">
          <cell r="C5325">
            <v>0</v>
          </cell>
          <cell r="N5325">
            <v>0</v>
          </cell>
          <cell r="O5325">
            <v>0</v>
          </cell>
          <cell r="AP5325">
            <v>0</v>
          </cell>
        </row>
        <row r="5326">
          <cell r="C5326">
            <v>0</v>
          </cell>
          <cell r="N5326">
            <v>0</v>
          </cell>
          <cell r="O5326">
            <v>0</v>
          </cell>
          <cell r="AP5326">
            <v>0</v>
          </cell>
        </row>
        <row r="5327">
          <cell r="C5327">
            <v>0</v>
          </cell>
          <cell r="N5327">
            <v>0</v>
          </cell>
          <cell r="O5327">
            <v>0</v>
          </cell>
          <cell r="AP5327">
            <v>0</v>
          </cell>
        </row>
        <row r="5328">
          <cell r="C5328">
            <v>0</v>
          </cell>
          <cell r="N5328">
            <v>0</v>
          </cell>
          <cell r="O5328">
            <v>0</v>
          </cell>
          <cell r="AP5328">
            <v>0</v>
          </cell>
        </row>
        <row r="5329">
          <cell r="C5329">
            <v>0</v>
          </cell>
          <cell r="N5329">
            <v>0</v>
          </cell>
          <cell r="O5329">
            <v>0</v>
          </cell>
          <cell r="AP5329">
            <v>0</v>
          </cell>
        </row>
        <row r="5330">
          <cell r="C5330">
            <v>0</v>
          </cell>
          <cell r="N5330">
            <v>0</v>
          </cell>
          <cell r="O5330">
            <v>0</v>
          </cell>
          <cell r="AP5330">
            <v>0</v>
          </cell>
        </row>
        <row r="5331">
          <cell r="C5331">
            <v>0</v>
          </cell>
          <cell r="N5331">
            <v>0</v>
          </cell>
          <cell r="O5331">
            <v>0</v>
          </cell>
          <cell r="AP5331">
            <v>0</v>
          </cell>
        </row>
        <row r="5332">
          <cell r="C5332">
            <v>0</v>
          </cell>
          <cell r="N5332">
            <v>0</v>
          </cell>
          <cell r="O5332">
            <v>0</v>
          </cell>
          <cell r="AP5332">
            <v>0</v>
          </cell>
        </row>
        <row r="5333">
          <cell r="C5333">
            <v>0</v>
          </cell>
          <cell r="N5333">
            <v>0</v>
          </cell>
          <cell r="O5333">
            <v>0</v>
          </cell>
          <cell r="AP5333">
            <v>0</v>
          </cell>
        </row>
        <row r="5334">
          <cell r="C5334">
            <v>0</v>
          </cell>
          <cell r="N5334">
            <v>0</v>
          </cell>
          <cell r="O5334">
            <v>0</v>
          </cell>
          <cell r="AP5334">
            <v>0</v>
          </cell>
        </row>
        <row r="5335">
          <cell r="C5335">
            <v>0</v>
          </cell>
          <cell r="N5335">
            <v>0</v>
          </cell>
          <cell r="O5335">
            <v>0</v>
          </cell>
          <cell r="AP5335">
            <v>0</v>
          </cell>
        </row>
        <row r="5336">
          <cell r="C5336">
            <v>0</v>
          </cell>
          <cell r="N5336">
            <v>0</v>
          </cell>
          <cell r="O5336">
            <v>0</v>
          </cell>
          <cell r="AP5336">
            <v>0</v>
          </cell>
        </row>
        <row r="5337">
          <cell r="C5337">
            <v>0</v>
          </cell>
          <cell r="N5337">
            <v>0</v>
          </cell>
          <cell r="O5337">
            <v>0</v>
          </cell>
          <cell r="AP5337">
            <v>0</v>
          </cell>
        </row>
        <row r="5338">
          <cell r="C5338">
            <v>0</v>
          </cell>
          <cell r="N5338">
            <v>0</v>
          </cell>
          <cell r="O5338">
            <v>0</v>
          </cell>
          <cell r="AP5338">
            <v>0</v>
          </cell>
        </row>
        <row r="5339">
          <cell r="C5339">
            <v>0</v>
          </cell>
          <cell r="N5339">
            <v>0</v>
          </cell>
          <cell r="O5339">
            <v>0</v>
          </cell>
          <cell r="AP5339">
            <v>0</v>
          </cell>
        </row>
        <row r="5340">
          <cell r="C5340">
            <v>0</v>
          </cell>
          <cell r="N5340">
            <v>0</v>
          </cell>
          <cell r="O5340">
            <v>0</v>
          </cell>
          <cell r="AP5340">
            <v>0</v>
          </cell>
        </row>
        <row r="5341">
          <cell r="C5341">
            <v>0</v>
          </cell>
          <cell r="N5341">
            <v>0</v>
          </cell>
          <cell r="O5341">
            <v>0</v>
          </cell>
          <cell r="AP5341">
            <v>0</v>
          </cell>
        </row>
        <row r="5342">
          <cell r="C5342">
            <v>0</v>
          </cell>
          <cell r="N5342">
            <v>0</v>
          </cell>
          <cell r="O5342">
            <v>0</v>
          </cell>
          <cell r="AP5342">
            <v>0</v>
          </cell>
        </row>
        <row r="5343">
          <cell r="C5343">
            <v>0</v>
          </cell>
          <cell r="N5343">
            <v>0</v>
          </cell>
          <cell r="O5343">
            <v>0</v>
          </cell>
          <cell r="AP5343">
            <v>0</v>
          </cell>
        </row>
        <row r="5344">
          <cell r="C5344">
            <v>0</v>
          </cell>
          <cell r="N5344">
            <v>0</v>
          </cell>
          <cell r="O5344">
            <v>0</v>
          </cell>
          <cell r="AP5344">
            <v>0</v>
          </cell>
        </row>
        <row r="5345">
          <cell r="C5345">
            <v>0</v>
          </cell>
          <cell r="N5345">
            <v>0</v>
          </cell>
          <cell r="O5345">
            <v>0</v>
          </cell>
          <cell r="AP5345">
            <v>0</v>
          </cell>
        </row>
        <row r="5346">
          <cell r="C5346">
            <v>0</v>
          </cell>
          <cell r="N5346">
            <v>0</v>
          </cell>
          <cell r="O5346">
            <v>0</v>
          </cell>
          <cell r="AP5346">
            <v>0</v>
          </cell>
        </row>
        <row r="5347">
          <cell r="C5347">
            <v>0</v>
          </cell>
          <cell r="N5347">
            <v>0</v>
          </cell>
          <cell r="O5347">
            <v>0</v>
          </cell>
          <cell r="AP5347">
            <v>0</v>
          </cell>
        </row>
        <row r="5348">
          <cell r="C5348">
            <v>0</v>
          </cell>
          <cell r="N5348">
            <v>0</v>
          </cell>
          <cell r="O5348">
            <v>0</v>
          </cell>
          <cell r="AP5348">
            <v>0</v>
          </cell>
        </row>
        <row r="5349">
          <cell r="C5349">
            <v>0</v>
          </cell>
          <cell r="N5349">
            <v>0</v>
          </cell>
          <cell r="O5349">
            <v>0</v>
          </cell>
          <cell r="AP5349">
            <v>0</v>
          </cell>
        </row>
        <row r="5350">
          <cell r="C5350">
            <v>0</v>
          </cell>
          <cell r="N5350">
            <v>0</v>
          </cell>
          <cell r="O5350">
            <v>0</v>
          </cell>
          <cell r="AP5350">
            <v>0</v>
          </cell>
        </row>
        <row r="5351">
          <cell r="C5351">
            <v>0</v>
          </cell>
          <cell r="N5351">
            <v>0</v>
          </cell>
          <cell r="O5351">
            <v>0</v>
          </cell>
          <cell r="AP5351">
            <v>0</v>
          </cell>
        </row>
        <row r="5352">
          <cell r="C5352">
            <v>0</v>
          </cell>
          <cell r="N5352">
            <v>0</v>
          </cell>
          <cell r="O5352">
            <v>0</v>
          </cell>
          <cell r="AP5352">
            <v>0</v>
          </cell>
        </row>
        <row r="5353">
          <cell r="C5353">
            <v>0</v>
          </cell>
          <cell r="N5353">
            <v>0</v>
          </cell>
          <cell r="O5353">
            <v>0</v>
          </cell>
          <cell r="AP5353">
            <v>0</v>
          </cell>
        </row>
        <row r="5354">
          <cell r="C5354">
            <v>0</v>
          </cell>
          <cell r="N5354">
            <v>0</v>
          </cell>
          <cell r="O5354">
            <v>0</v>
          </cell>
          <cell r="AP5354">
            <v>0</v>
          </cell>
        </row>
        <row r="5355">
          <cell r="C5355">
            <v>0</v>
          </cell>
          <cell r="N5355">
            <v>0</v>
          </cell>
          <cell r="O5355">
            <v>0</v>
          </cell>
          <cell r="AP5355">
            <v>0</v>
          </cell>
        </row>
        <row r="5356">
          <cell r="C5356">
            <v>0</v>
          </cell>
          <cell r="N5356">
            <v>0</v>
          </cell>
          <cell r="O5356">
            <v>0</v>
          </cell>
          <cell r="AP5356">
            <v>0</v>
          </cell>
        </row>
        <row r="5357">
          <cell r="C5357">
            <v>0</v>
          </cell>
          <cell r="N5357">
            <v>0</v>
          </cell>
          <cell r="O5357">
            <v>0</v>
          </cell>
          <cell r="AP5357">
            <v>0</v>
          </cell>
        </row>
        <row r="5358">
          <cell r="C5358">
            <v>0</v>
          </cell>
          <cell r="N5358">
            <v>0</v>
          </cell>
          <cell r="O5358">
            <v>0</v>
          </cell>
          <cell r="AP5358">
            <v>0</v>
          </cell>
        </row>
        <row r="5359">
          <cell r="C5359">
            <v>0</v>
          </cell>
          <cell r="N5359">
            <v>0</v>
          </cell>
          <cell r="O5359">
            <v>0</v>
          </cell>
          <cell r="AP5359">
            <v>0</v>
          </cell>
        </row>
        <row r="5360">
          <cell r="C5360">
            <v>0</v>
          </cell>
          <cell r="N5360">
            <v>0</v>
          </cell>
          <cell r="O5360">
            <v>0</v>
          </cell>
          <cell r="AP5360">
            <v>0</v>
          </cell>
        </row>
        <row r="5361">
          <cell r="C5361">
            <v>0</v>
          </cell>
          <cell r="N5361">
            <v>0</v>
          </cell>
          <cell r="O5361">
            <v>0</v>
          </cell>
          <cell r="AP5361">
            <v>0</v>
          </cell>
        </row>
        <row r="5362">
          <cell r="C5362">
            <v>0</v>
          </cell>
          <cell r="N5362">
            <v>0</v>
          </cell>
          <cell r="O5362">
            <v>0</v>
          </cell>
          <cell r="AP5362">
            <v>0</v>
          </cell>
        </row>
        <row r="5363">
          <cell r="C5363">
            <v>0</v>
          </cell>
          <cell r="N5363">
            <v>0</v>
          </cell>
          <cell r="O5363">
            <v>0</v>
          </cell>
          <cell r="AP5363">
            <v>0</v>
          </cell>
        </row>
        <row r="5364">
          <cell r="C5364">
            <v>0</v>
          </cell>
          <cell r="N5364">
            <v>0</v>
          </cell>
          <cell r="O5364">
            <v>0</v>
          </cell>
          <cell r="AP5364">
            <v>0</v>
          </cell>
        </row>
        <row r="5365">
          <cell r="C5365">
            <v>0</v>
          </cell>
          <cell r="N5365">
            <v>0</v>
          </cell>
          <cell r="O5365">
            <v>0</v>
          </cell>
          <cell r="AP5365">
            <v>0</v>
          </cell>
        </row>
        <row r="5366">
          <cell r="C5366">
            <v>0</v>
          </cell>
          <cell r="N5366">
            <v>0</v>
          </cell>
          <cell r="O5366">
            <v>0</v>
          </cell>
          <cell r="AP5366">
            <v>0</v>
          </cell>
        </row>
        <row r="5367">
          <cell r="C5367">
            <v>0</v>
          </cell>
          <cell r="N5367">
            <v>0</v>
          </cell>
          <cell r="O5367">
            <v>0</v>
          </cell>
          <cell r="AP5367">
            <v>0</v>
          </cell>
        </row>
        <row r="5368">
          <cell r="C5368">
            <v>0</v>
          </cell>
          <cell r="N5368">
            <v>0</v>
          </cell>
          <cell r="O5368">
            <v>0</v>
          </cell>
          <cell r="AP5368">
            <v>0</v>
          </cell>
        </row>
        <row r="5369">
          <cell r="C5369">
            <v>0</v>
          </cell>
          <cell r="N5369">
            <v>0</v>
          </cell>
          <cell r="O5369">
            <v>0</v>
          </cell>
          <cell r="AP5369">
            <v>0</v>
          </cell>
        </row>
        <row r="5370">
          <cell r="C5370">
            <v>0</v>
          </cell>
          <cell r="N5370">
            <v>0</v>
          </cell>
          <cell r="O5370">
            <v>0</v>
          </cell>
          <cell r="AP5370">
            <v>0</v>
          </cell>
        </row>
        <row r="5371">
          <cell r="C5371">
            <v>0</v>
          </cell>
          <cell r="N5371">
            <v>0</v>
          </cell>
          <cell r="O5371">
            <v>0</v>
          </cell>
          <cell r="AP5371">
            <v>0</v>
          </cell>
        </row>
        <row r="5372">
          <cell r="C5372">
            <v>0</v>
          </cell>
          <cell r="N5372">
            <v>0</v>
          </cell>
          <cell r="O5372">
            <v>0</v>
          </cell>
          <cell r="AP5372">
            <v>0</v>
          </cell>
        </row>
        <row r="5373">
          <cell r="C5373">
            <v>0</v>
          </cell>
          <cell r="N5373">
            <v>0</v>
          </cell>
          <cell r="O5373">
            <v>0</v>
          </cell>
          <cell r="AP5373">
            <v>0</v>
          </cell>
        </row>
        <row r="5374">
          <cell r="C5374">
            <v>0</v>
          </cell>
          <cell r="N5374">
            <v>0</v>
          </cell>
          <cell r="O5374">
            <v>0</v>
          </cell>
          <cell r="AP5374">
            <v>0</v>
          </cell>
        </row>
        <row r="5375">
          <cell r="C5375">
            <v>0</v>
          </cell>
          <cell r="N5375">
            <v>0</v>
          </cell>
          <cell r="O5375">
            <v>0</v>
          </cell>
          <cell r="AP5375">
            <v>0</v>
          </cell>
        </row>
        <row r="5376">
          <cell r="C5376">
            <v>0</v>
          </cell>
          <cell r="N5376">
            <v>0</v>
          </cell>
          <cell r="O5376">
            <v>0</v>
          </cell>
          <cell r="AP5376">
            <v>0</v>
          </cell>
        </row>
        <row r="5377">
          <cell r="C5377">
            <v>0</v>
          </cell>
          <cell r="N5377">
            <v>0</v>
          </cell>
          <cell r="O5377">
            <v>0</v>
          </cell>
          <cell r="AP5377">
            <v>0</v>
          </cell>
        </row>
        <row r="5378">
          <cell r="C5378">
            <v>0</v>
          </cell>
          <cell r="N5378">
            <v>0</v>
          </cell>
          <cell r="O5378">
            <v>0</v>
          </cell>
          <cell r="AP5378">
            <v>0</v>
          </cell>
        </row>
        <row r="5379">
          <cell r="C5379">
            <v>0</v>
          </cell>
          <cell r="N5379">
            <v>0</v>
          </cell>
          <cell r="O5379">
            <v>0</v>
          </cell>
          <cell r="AP5379">
            <v>0</v>
          </cell>
        </row>
        <row r="5380">
          <cell r="C5380">
            <v>0</v>
          </cell>
          <cell r="N5380">
            <v>0</v>
          </cell>
          <cell r="O5380">
            <v>0</v>
          </cell>
          <cell r="AP5380">
            <v>0</v>
          </cell>
        </row>
        <row r="5381">
          <cell r="C5381">
            <v>0</v>
          </cell>
          <cell r="N5381">
            <v>0</v>
          </cell>
          <cell r="O5381">
            <v>0</v>
          </cell>
          <cell r="AP5381">
            <v>0</v>
          </cell>
        </row>
        <row r="5382">
          <cell r="C5382">
            <v>0</v>
          </cell>
          <cell r="N5382">
            <v>0</v>
          </cell>
          <cell r="O5382">
            <v>0</v>
          </cell>
          <cell r="AP5382">
            <v>0</v>
          </cell>
        </row>
        <row r="5383">
          <cell r="C5383">
            <v>0</v>
          </cell>
          <cell r="N5383">
            <v>0</v>
          </cell>
          <cell r="O5383">
            <v>0</v>
          </cell>
          <cell r="AP5383">
            <v>0</v>
          </cell>
        </row>
        <row r="5384">
          <cell r="C5384">
            <v>0</v>
          </cell>
          <cell r="N5384">
            <v>0</v>
          </cell>
          <cell r="O5384">
            <v>0</v>
          </cell>
          <cell r="AP5384">
            <v>0</v>
          </cell>
        </row>
        <row r="5385">
          <cell r="C5385">
            <v>0</v>
          </cell>
          <cell r="N5385">
            <v>0</v>
          </cell>
          <cell r="O5385">
            <v>0</v>
          </cell>
          <cell r="AP5385">
            <v>0</v>
          </cell>
        </row>
        <row r="5386">
          <cell r="C5386">
            <v>0</v>
          </cell>
          <cell r="N5386">
            <v>0</v>
          </cell>
          <cell r="O5386">
            <v>0</v>
          </cell>
          <cell r="AP5386">
            <v>0</v>
          </cell>
        </row>
        <row r="5387">
          <cell r="C5387">
            <v>0</v>
          </cell>
          <cell r="N5387">
            <v>0</v>
          </cell>
          <cell r="O5387">
            <v>0</v>
          </cell>
          <cell r="AP5387">
            <v>0</v>
          </cell>
        </row>
        <row r="5388">
          <cell r="C5388">
            <v>0</v>
          </cell>
          <cell r="N5388">
            <v>0</v>
          </cell>
          <cell r="O5388">
            <v>0</v>
          </cell>
          <cell r="AP5388">
            <v>0</v>
          </cell>
        </row>
        <row r="5389">
          <cell r="C5389">
            <v>0</v>
          </cell>
          <cell r="N5389">
            <v>0</v>
          </cell>
          <cell r="O5389">
            <v>0</v>
          </cell>
          <cell r="AP5389">
            <v>0</v>
          </cell>
        </row>
        <row r="5390">
          <cell r="C5390">
            <v>0</v>
          </cell>
          <cell r="N5390">
            <v>0</v>
          </cell>
          <cell r="O5390">
            <v>0</v>
          </cell>
          <cell r="AP5390">
            <v>0</v>
          </cell>
        </row>
        <row r="5391">
          <cell r="C5391">
            <v>0</v>
          </cell>
          <cell r="N5391">
            <v>0</v>
          </cell>
          <cell r="O5391">
            <v>0</v>
          </cell>
          <cell r="AP5391">
            <v>0</v>
          </cell>
        </row>
        <row r="5392">
          <cell r="C5392">
            <v>0</v>
          </cell>
          <cell r="N5392">
            <v>0</v>
          </cell>
          <cell r="O5392">
            <v>0</v>
          </cell>
          <cell r="AP5392">
            <v>0</v>
          </cell>
        </row>
        <row r="5393">
          <cell r="C5393">
            <v>0</v>
          </cell>
          <cell r="N5393">
            <v>0</v>
          </cell>
          <cell r="O5393">
            <v>0</v>
          </cell>
          <cell r="AP5393">
            <v>0</v>
          </cell>
        </row>
        <row r="5394">
          <cell r="C5394">
            <v>0</v>
          </cell>
          <cell r="N5394">
            <v>0</v>
          </cell>
          <cell r="O5394">
            <v>0</v>
          </cell>
          <cell r="AP5394">
            <v>0</v>
          </cell>
        </row>
        <row r="5395">
          <cell r="C5395">
            <v>0</v>
          </cell>
          <cell r="N5395">
            <v>0</v>
          </cell>
          <cell r="O5395">
            <v>0</v>
          </cell>
          <cell r="AP5395">
            <v>0</v>
          </cell>
        </row>
        <row r="5396">
          <cell r="C5396">
            <v>0</v>
          </cell>
          <cell r="N5396">
            <v>0</v>
          </cell>
          <cell r="O5396">
            <v>0</v>
          </cell>
          <cell r="AP5396">
            <v>0</v>
          </cell>
        </row>
        <row r="5397">
          <cell r="C5397">
            <v>0</v>
          </cell>
          <cell r="N5397">
            <v>0</v>
          </cell>
          <cell r="O5397">
            <v>0</v>
          </cell>
          <cell r="AP5397">
            <v>0</v>
          </cell>
        </row>
        <row r="5398">
          <cell r="C5398">
            <v>0</v>
          </cell>
          <cell r="N5398">
            <v>0</v>
          </cell>
          <cell r="O5398">
            <v>0</v>
          </cell>
          <cell r="AP5398">
            <v>0</v>
          </cell>
        </row>
        <row r="5399">
          <cell r="C5399">
            <v>0</v>
          </cell>
          <cell r="N5399">
            <v>0</v>
          </cell>
          <cell r="O5399">
            <v>0</v>
          </cell>
          <cell r="AP5399">
            <v>0</v>
          </cell>
        </row>
        <row r="5400">
          <cell r="C5400">
            <v>0</v>
          </cell>
          <cell r="N5400">
            <v>0</v>
          </cell>
          <cell r="O5400">
            <v>0</v>
          </cell>
          <cell r="AP5400">
            <v>0</v>
          </cell>
        </row>
        <row r="5401">
          <cell r="C5401">
            <v>0</v>
          </cell>
          <cell r="N5401">
            <v>0</v>
          </cell>
          <cell r="O5401">
            <v>0</v>
          </cell>
          <cell r="AP5401">
            <v>0</v>
          </cell>
        </row>
        <row r="5402">
          <cell r="C5402">
            <v>0</v>
          </cell>
          <cell r="N5402">
            <v>0</v>
          </cell>
          <cell r="O5402">
            <v>0</v>
          </cell>
          <cell r="AP5402">
            <v>0</v>
          </cell>
        </row>
        <row r="5403">
          <cell r="C5403">
            <v>0</v>
          </cell>
          <cell r="N5403">
            <v>0</v>
          </cell>
          <cell r="O5403">
            <v>0</v>
          </cell>
          <cell r="AP5403">
            <v>0</v>
          </cell>
        </row>
        <row r="5404">
          <cell r="C5404">
            <v>0</v>
          </cell>
          <cell r="N5404">
            <v>0</v>
          </cell>
          <cell r="O5404">
            <v>0</v>
          </cell>
          <cell r="AP5404">
            <v>0</v>
          </cell>
        </row>
        <row r="5405">
          <cell r="C5405">
            <v>0</v>
          </cell>
          <cell r="N5405">
            <v>0</v>
          </cell>
          <cell r="O5405">
            <v>0</v>
          </cell>
          <cell r="AP5405">
            <v>0</v>
          </cell>
        </row>
        <row r="5406">
          <cell r="C5406">
            <v>0</v>
          </cell>
          <cell r="N5406">
            <v>0</v>
          </cell>
          <cell r="O5406">
            <v>0</v>
          </cell>
          <cell r="AP5406">
            <v>0</v>
          </cell>
        </row>
        <row r="5407">
          <cell r="C5407">
            <v>0</v>
          </cell>
          <cell r="N5407">
            <v>0</v>
          </cell>
          <cell r="O5407">
            <v>0</v>
          </cell>
          <cell r="AP5407">
            <v>0</v>
          </cell>
        </row>
        <row r="5408">
          <cell r="C5408">
            <v>0</v>
          </cell>
          <cell r="N5408">
            <v>0</v>
          </cell>
          <cell r="O5408">
            <v>0</v>
          </cell>
          <cell r="AP5408">
            <v>0</v>
          </cell>
        </row>
        <row r="5409">
          <cell r="C5409">
            <v>0</v>
          </cell>
          <cell r="N5409">
            <v>0</v>
          </cell>
          <cell r="O5409">
            <v>0</v>
          </cell>
          <cell r="AP5409">
            <v>0</v>
          </cell>
        </row>
        <row r="5410">
          <cell r="C5410">
            <v>0</v>
          </cell>
          <cell r="N5410">
            <v>0</v>
          </cell>
          <cell r="O5410">
            <v>0</v>
          </cell>
          <cell r="AP5410">
            <v>0</v>
          </cell>
        </row>
        <row r="5411">
          <cell r="C5411">
            <v>0</v>
          </cell>
          <cell r="N5411">
            <v>0</v>
          </cell>
          <cell r="O5411">
            <v>0</v>
          </cell>
          <cell r="AP5411">
            <v>0</v>
          </cell>
        </row>
        <row r="5412">
          <cell r="C5412">
            <v>0</v>
          </cell>
          <cell r="N5412">
            <v>0</v>
          </cell>
          <cell r="O5412">
            <v>0</v>
          </cell>
          <cell r="AP5412">
            <v>0</v>
          </cell>
        </row>
        <row r="5413">
          <cell r="C5413">
            <v>0</v>
          </cell>
          <cell r="N5413">
            <v>0</v>
          </cell>
          <cell r="O5413">
            <v>0</v>
          </cell>
          <cell r="AP5413">
            <v>0</v>
          </cell>
        </row>
        <row r="5414">
          <cell r="C5414">
            <v>0</v>
          </cell>
          <cell r="N5414">
            <v>0</v>
          </cell>
          <cell r="O5414">
            <v>0</v>
          </cell>
          <cell r="AP5414">
            <v>0</v>
          </cell>
        </row>
        <row r="5415">
          <cell r="C5415">
            <v>0</v>
          </cell>
          <cell r="N5415">
            <v>0</v>
          </cell>
          <cell r="O5415">
            <v>0</v>
          </cell>
          <cell r="AP5415">
            <v>0</v>
          </cell>
        </row>
        <row r="5416">
          <cell r="C5416">
            <v>0</v>
          </cell>
          <cell r="N5416">
            <v>0</v>
          </cell>
          <cell r="O5416">
            <v>0</v>
          </cell>
          <cell r="AP5416">
            <v>0</v>
          </cell>
        </row>
        <row r="5417">
          <cell r="C5417">
            <v>0</v>
          </cell>
          <cell r="N5417">
            <v>0</v>
          </cell>
          <cell r="O5417">
            <v>0</v>
          </cell>
          <cell r="AP5417">
            <v>0</v>
          </cell>
        </row>
        <row r="5418">
          <cell r="C5418">
            <v>0</v>
          </cell>
          <cell r="N5418">
            <v>0</v>
          </cell>
          <cell r="O5418">
            <v>0</v>
          </cell>
          <cell r="AP5418">
            <v>0</v>
          </cell>
        </row>
        <row r="5419">
          <cell r="C5419">
            <v>0</v>
          </cell>
          <cell r="N5419">
            <v>0</v>
          </cell>
          <cell r="O5419">
            <v>0</v>
          </cell>
          <cell r="AP5419">
            <v>0</v>
          </cell>
        </row>
        <row r="5420">
          <cell r="C5420">
            <v>0</v>
          </cell>
          <cell r="N5420">
            <v>0</v>
          </cell>
          <cell r="O5420">
            <v>0</v>
          </cell>
          <cell r="AP5420">
            <v>0</v>
          </cell>
        </row>
        <row r="5421">
          <cell r="C5421">
            <v>0</v>
          </cell>
          <cell r="N5421">
            <v>0</v>
          </cell>
          <cell r="O5421">
            <v>0</v>
          </cell>
          <cell r="AP5421">
            <v>0</v>
          </cell>
        </row>
        <row r="5422">
          <cell r="C5422">
            <v>0</v>
          </cell>
          <cell r="N5422">
            <v>0</v>
          </cell>
          <cell r="O5422">
            <v>0</v>
          </cell>
          <cell r="AP5422">
            <v>0</v>
          </cell>
        </row>
        <row r="5423">
          <cell r="C5423">
            <v>0</v>
          </cell>
          <cell r="N5423">
            <v>0</v>
          </cell>
          <cell r="O5423">
            <v>0</v>
          </cell>
          <cell r="AP5423">
            <v>0</v>
          </cell>
        </row>
        <row r="5424">
          <cell r="C5424">
            <v>0</v>
          </cell>
          <cell r="N5424">
            <v>0</v>
          </cell>
          <cell r="O5424">
            <v>0</v>
          </cell>
          <cell r="AP5424">
            <v>0</v>
          </cell>
        </row>
        <row r="5425">
          <cell r="C5425">
            <v>0</v>
          </cell>
          <cell r="N5425">
            <v>0</v>
          </cell>
          <cell r="O5425">
            <v>0</v>
          </cell>
          <cell r="AP5425">
            <v>0</v>
          </cell>
        </row>
        <row r="5426">
          <cell r="C5426">
            <v>0</v>
          </cell>
          <cell r="N5426">
            <v>0</v>
          </cell>
          <cell r="O5426">
            <v>0</v>
          </cell>
          <cell r="AP5426">
            <v>0</v>
          </cell>
        </row>
        <row r="5427">
          <cell r="C5427">
            <v>0</v>
          </cell>
          <cell r="N5427">
            <v>0</v>
          </cell>
          <cell r="O5427">
            <v>0</v>
          </cell>
          <cell r="AP5427">
            <v>0</v>
          </cell>
        </row>
        <row r="5428">
          <cell r="C5428">
            <v>0</v>
          </cell>
          <cell r="N5428">
            <v>0</v>
          </cell>
          <cell r="O5428">
            <v>0</v>
          </cell>
          <cell r="AP5428">
            <v>0</v>
          </cell>
        </row>
        <row r="5429">
          <cell r="C5429">
            <v>0</v>
          </cell>
          <cell r="N5429">
            <v>0</v>
          </cell>
          <cell r="O5429">
            <v>0</v>
          </cell>
          <cell r="AP5429">
            <v>0</v>
          </cell>
        </row>
        <row r="5430">
          <cell r="C5430">
            <v>0</v>
          </cell>
          <cell r="N5430">
            <v>0</v>
          </cell>
          <cell r="O5430">
            <v>0</v>
          </cell>
          <cell r="AP5430">
            <v>0</v>
          </cell>
        </row>
        <row r="5431">
          <cell r="C5431">
            <v>0</v>
          </cell>
          <cell r="N5431">
            <v>0</v>
          </cell>
          <cell r="O5431">
            <v>0</v>
          </cell>
          <cell r="AP5431">
            <v>0</v>
          </cell>
        </row>
        <row r="5432">
          <cell r="C5432">
            <v>0</v>
          </cell>
          <cell r="N5432">
            <v>0</v>
          </cell>
          <cell r="O5432">
            <v>0</v>
          </cell>
          <cell r="AP5432">
            <v>0</v>
          </cell>
        </row>
        <row r="5433">
          <cell r="C5433">
            <v>0</v>
          </cell>
          <cell r="N5433">
            <v>0</v>
          </cell>
          <cell r="O5433">
            <v>0</v>
          </cell>
          <cell r="AP5433">
            <v>0</v>
          </cell>
        </row>
        <row r="5434">
          <cell r="C5434">
            <v>0</v>
          </cell>
          <cell r="N5434">
            <v>0</v>
          </cell>
          <cell r="O5434">
            <v>0</v>
          </cell>
          <cell r="AP5434">
            <v>0</v>
          </cell>
        </row>
        <row r="5435">
          <cell r="C5435">
            <v>0</v>
          </cell>
          <cell r="N5435">
            <v>0</v>
          </cell>
          <cell r="O5435">
            <v>0</v>
          </cell>
          <cell r="AP5435">
            <v>0</v>
          </cell>
        </row>
        <row r="5436">
          <cell r="C5436">
            <v>0</v>
          </cell>
          <cell r="N5436">
            <v>0</v>
          </cell>
          <cell r="O5436">
            <v>0</v>
          </cell>
          <cell r="AP5436">
            <v>0</v>
          </cell>
        </row>
        <row r="5437">
          <cell r="C5437">
            <v>0</v>
          </cell>
          <cell r="N5437">
            <v>0</v>
          </cell>
          <cell r="O5437">
            <v>0</v>
          </cell>
          <cell r="AP5437">
            <v>0</v>
          </cell>
        </row>
        <row r="5438">
          <cell r="C5438">
            <v>0</v>
          </cell>
          <cell r="N5438">
            <v>0</v>
          </cell>
          <cell r="O5438">
            <v>0</v>
          </cell>
          <cell r="AP5438">
            <v>0</v>
          </cell>
        </row>
        <row r="5439">
          <cell r="C5439">
            <v>0</v>
          </cell>
          <cell r="N5439">
            <v>0</v>
          </cell>
          <cell r="O5439">
            <v>0</v>
          </cell>
          <cell r="AP5439">
            <v>0</v>
          </cell>
        </row>
        <row r="5440">
          <cell r="C5440">
            <v>0</v>
          </cell>
          <cell r="N5440">
            <v>0</v>
          </cell>
          <cell r="O5440">
            <v>0</v>
          </cell>
          <cell r="AP5440">
            <v>0</v>
          </cell>
        </row>
        <row r="5441">
          <cell r="C5441">
            <v>0</v>
          </cell>
          <cell r="N5441">
            <v>0</v>
          </cell>
          <cell r="O5441">
            <v>0</v>
          </cell>
          <cell r="AP5441">
            <v>0</v>
          </cell>
        </row>
        <row r="5442">
          <cell r="C5442">
            <v>0</v>
          </cell>
          <cell r="N5442">
            <v>0</v>
          </cell>
          <cell r="O5442">
            <v>0</v>
          </cell>
          <cell r="AP5442">
            <v>0</v>
          </cell>
        </row>
        <row r="5443">
          <cell r="C5443">
            <v>0</v>
          </cell>
          <cell r="N5443">
            <v>0</v>
          </cell>
          <cell r="O5443">
            <v>0</v>
          </cell>
          <cell r="AP5443">
            <v>0</v>
          </cell>
        </row>
        <row r="5444">
          <cell r="C5444">
            <v>0</v>
          </cell>
          <cell r="N5444">
            <v>0</v>
          </cell>
          <cell r="O5444">
            <v>0</v>
          </cell>
          <cell r="AP5444">
            <v>0</v>
          </cell>
        </row>
        <row r="5445">
          <cell r="C5445">
            <v>0</v>
          </cell>
          <cell r="N5445">
            <v>0</v>
          </cell>
          <cell r="O5445">
            <v>0</v>
          </cell>
          <cell r="AP5445">
            <v>0</v>
          </cell>
        </row>
        <row r="5446">
          <cell r="C5446">
            <v>0</v>
          </cell>
          <cell r="N5446">
            <v>0</v>
          </cell>
          <cell r="O5446">
            <v>0</v>
          </cell>
          <cell r="AP5446">
            <v>0</v>
          </cell>
        </row>
        <row r="5447">
          <cell r="C5447">
            <v>0</v>
          </cell>
          <cell r="N5447">
            <v>0</v>
          </cell>
          <cell r="O5447">
            <v>0</v>
          </cell>
          <cell r="AP5447">
            <v>0</v>
          </cell>
        </row>
        <row r="5448">
          <cell r="C5448">
            <v>0</v>
          </cell>
          <cell r="N5448">
            <v>0</v>
          </cell>
          <cell r="O5448">
            <v>0</v>
          </cell>
          <cell r="AP5448">
            <v>0</v>
          </cell>
        </row>
        <row r="5449">
          <cell r="C5449">
            <v>0</v>
          </cell>
          <cell r="N5449">
            <v>0</v>
          </cell>
          <cell r="O5449">
            <v>0</v>
          </cell>
          <cell r="AP5449">
            <v>0</v>
          </cell>
        </row>
        <row r="5450">
          <cell r="C5450">
            <v>0</v>
          </cell>
          <cell r="N5450">
            <v>0</v>
          </cell>
          <cell r="O5450">
            <v>0</v>
          </cell>
          <cell r="AP5450">
            <v>0</v>
          </cell>
        </row>
        <row r="5451">
          <cell r="C5451">
            <v>0</v>
          </cell>
          <cell r="N5451">
            <v>0</v>
          </cell>
          <cell r="O5451">
            <v>0</v>
          </cell>
          <cell r="AP5451">
            <v>0</v>
          </cell>
        </row>
        <row r="5452">
          <cell r="C5452">
            <v>0</v>
          </cell>
          <cell r="N5452">
            <v>0</v>
          </cell>
          <cell r="O5452">
            <v>0</v>
          </cell>
          <cell r="AP5452">
            <v>0</v>
          </cell>
        </row>
        <row r="5453">
          <cell r="C5453">
            <v>0</v>
          </cell>
          <cell r="N5453">
            <v>0</v>
          </cell>
          <cell r="O5453">
            <v>0</v>
          </cell>
          <cell r="AP5453">
            <v>0</v>
          </cell>
        </row>
        <row r="5454">
          <cell r="C5454">
            <v>0</v>
          </cell>
          <cell r="N5454">
            <v>0</v>
          </cell>
          <cell r="O5454">
            <v>0</v>
          </cell>
          <cell r="AP5454">
            <v>0</v>
          </cell>
        </row>
        <row r="5455">
          <cell r="C5455">
            <v>0</v>
          </cell>
          <cell r="N5455">
            <v>0</v>
          </cell>
          <cell r="O5455">
            <v>0</v>
          </cell>
          <cell r="AP5455">
            <v>0</v>
          </cell>
        </row>
        <row r="5456">
          <cell r="C5456">
            <v>0</v>
          </cell>
          <cell r="N5456">
            <v>0</v>
          </cell>
          <cell r="O5456">
            <v>0</v>
          </cell>
          <cell r="AP5456">
            <v>0</v>
          </cell>
        </row>
        <row r="5457">
          <cell r="C5457">
            <v>0</v>
          </cell>
          <cell r="N5457">
            <v>0</v>
          </cell>
          <cell r="O5457">
            <v>0</v>
          </cell>
          <cell r="AP5457">
            <v>0</v>
          </cell>
        </row>
        <row r="5458">
          <cell r="C5458">
            <v>0</v>
          </cell>
          <cell r="N5458">
            <v>0</v>
          </cell>
          <cell r="O5458">
            <v>0</v>
          </cell>
          <cell r="AP5458">
            <v>0</v>
          </cell>
        </row>
        <row r="5459">
          <cell r="C5459">
            <v>0</v>
          </cell>
          <cell r="N5459">
            <v>0</v>
          </cell>
          <cell r="O5459">
            <v>0</v>
          </cell>
          <cell r="AP5459">
            <v>0</v>
          </cell>
        </row>
        <row r="5460">
          <cell r="C5460">
            <v>0</v>
          </cell>
          <cell r="N5460">
            <v>0</v>
          </cell>
          <cell r="O5460">
            <v>0</v>
          </cell>
          <cell r="AP5460">
            <v>0</v>
          </cell>
        </row>
        <row r="5461">
          <cell r="C5461">
            <v>0</v>
          </cell>
          <cell r="N5461">
            <v>0</v>
          </cell>
          <cell r="O5461">
            <v>0</v>
          </cell>
          <cell r="AP5461">
            <v>0</v>
          </cell>
        </row>
        <row r="5462">
          <cell r="C5462">
            <v>0</v>
          </cell>
          <cell r="N5462">
            <v>0</v>
          </cell>
          <cell r="O5462">
            <v>0</v>
          </cell>
          <cell r="AP5462">
            <v>0</v>
          </cell>
        </row>
        <row r="5463">
          <cell r="C5463">
            <v>0</v>
          </cell>
          <cell r="N5463">
            <v>0</v>
          </cell>
          <cell r="O5463">
            <v>0</v>
          </cell>
          <cell r="AP5463">
            <v>0</v>
          </cell>
        </row>
        <row r="5464">
          <cell r="C5464">
            <v>0</v>
          </cell>
          <cell r="N5464">
            <v>0</v>
          </cell>
          <cell r="O5464">
            <v>0</v>
          </cell>
          <cell r="AP5464">
            <v>0</v>
          </cell>
        </row>
        <row r="5465">
          <cell r="C5465">
            <v>0</v>
          </cell>
          <cell r="N5465">
            <v>0</v>
          </cell>
          <cell r="O5465">
            <v>0</v>
          </cell>
          <cell r="AP5465">
            <v>0</v>
          </cell>
        </row>
        <row r="5466">
          <cell r="C5466">
            <v>0</v>
          </cell>
          <cell r="N5466">
            <v>0</v>
          </cell>
          <cell r="O5466">
            <v>0</v>
          </cell>
          <cell r="AP5466">
            <v>0</v>
          </cell>
        </row>
        <row r="5467">
          <cell r="C5467">
            <v>0</v>
          </cell>
          <cell r="N5467">
            <v>0</v>
          </cell>
          <cell r="O5467">
            <v>0</v>
          </cell>
          <cell r="AP5467">
            <v>0</v>
          </cell>
        </row>
        <row r="5468">
          <cell r="C5468">
            <v>0</v>
          </cell>
          <cell r="N5468">
            <v>0</v>
          </cell>
          <cell r="O5468">
            <v>0</v>
          </cell>
          <cell r="AP5468">
            <v>0</v>
          </cell>
        </row>
        <row r="5469">
          <cell r="C5469">
            <v>0</v>
          </cell>
          <cell r="N5469">
            <v>0</v>
          </cell>
          <cell r="O5469">
            <v>0</v>
          </cell>
          <cell r="AP5469">
            <v>0</v>
          </cell>
        </row>
        <row r="5470">
          <cell r="C5470">
            <v>0</v>
          </cell>
          <cell r="N5470">
            <v>0</v>
          </cell>
          <cell r="O5470">
            <v>0</v>
          </cell>
          <cell r="AP5470">
            <v>0</v>
          </cell>
        </row>
        <row r="5471">
          <cell r="C5471">
            <v>0</v>
          </cell>
          <cell r="N5471">
            <v>0</v>
          </cell>
          <cell r="O5471">
            <v>0</v>
          </cell>
          <cell r="AP5471">
            <v>0</v>
          </cell>
        </row>
        <row r="5472">
          <cell r="C5472">
            <v>0</v>
          </cell>
          <cell r="N5472">
            <v>0</v>
          </cell>
          <cell r="O5472">
            <v>0</v>
          </cell>
          <cell r="AP5472">
            <v>0</v>
          </cell>
        </row>
        <row r="5473">
          <cell r="C5473">
            <v>0</v>
          </cell>
          <cell r="N5473">
            <v>0</v>
          </cell>
          <cell r="O5473">
            <v>0</v>
          </cell>
          <cell r="AP5473">
            <v>0</v>
          </cell>
        </row>
        <row r="5474">
          <cell r="C5474">
            <v>0</v>
          </cell>
          <cell r="N5474">
            <v>0</v>
          </cell>
          <cell r="O5474">
            <v>0</v>
          </cell>
          <cell r="AP5474">
            <v>0</v>
          </cell>
        </row>
        <row r="5475">
          <cell r="C5475">
            <v>0</v>
          </cell>
          <cell r="N5475">
            <v>0</v>
          </cell>
          <cell r="O5475">
            <v>0</v>
          </cell>
          <cell r="AP5475">
            <v>0</v>
          </cell>
        </row>
        <row r="5476">
          <cell r="C5476">
            <v>0</v>
          </cell>
          <cell r="N5476">
            <v>0</v>
          </cell>
          <cell r="O5476">
            <v>0</v>
          </cell>
          <cell r="AP5476">
            <v>0</v>
          </cell>
        </row>
        <row r="5477">
          <cell r="C5477">
            <v>0</v>
          </cell>
          <cell r="N5477">
            <v>0</v>
          </cell>
          <cell r="O5477">
            <v>0</v>
          </cell>
          <cell r="AP5477">
            <v>0</v>
          </cell>
        </row>
        <row r="5478">
          <cell r="C5478">
            <v>0</v>
          </cell>
          <cell r="N5478">
            <v>0</v>
          </cell>
          <cell r="O5478">
            <v>0</v>
          </cell>
          <cell r="AP5478">
            <v>0</v>
          </cell>
        </row>
        <row r="5479">
          <cell r="C5479">
            <v>0</v>
          </cell>
          <cell r="N5479">
            <v>0</v>
          </cell>
          <cell r="O5479">
            <v>0</v>
          </cell>
          <cell r="AP5479">
            <v>0</v>
          </cell>
        </row>
        <row r="5480">
          <cell r="C5480">
            <v>0</v>
          </cell>
          <cell r="N5480">
            <v>0</v>
          </cell>
          <cell r="O5480">
            <v>0</v>
          </cell>
          <cell r="AP5480">
            <v>0</v>
          </cell>
        </row>
        <row r="5481">
          <cell r="C5481">
            <v>0</v>
          </cell>
          <cell r="N5481">
            <v>0</v>
          </cell>
          <cell r="O5481">
            <v>0</v>
          </cell>
          <cell r="AP5481">
            <v>0</v>
          </cell>
        </row>
        <row r="5482">
          <cell r="C5482">
            <v>0</v>
          </cell>
          <cell r="O5482">
            <v>0</v>
          </cell>
          <cell r="AP5482">
            <v>0</v>
          </cell>
        </row>
        <row r="5483">
          <cell r="C5483">
            <v>0</v>
          </cell>
          <cell r="O5483">
            <v>0</v>
          </cell>
          <cell r="AP5483">
            <v>0</v>
          </cell>
        </row>
        <row r="5484">
          <cell r="C5484">
            <v>0</v>
          </cell>
          <cell r="O5484">
            <v>0</v>
          </cell>
          <cell r="AP5484">
            <v>0</v>
          </cell>
        </row>
        <row r="5485">
          <cell r="C5485">
            <v>0</v>
          </cell>
          <cell r="O5485">
            <v>0</v>
          </cell>
          <cell r="AP5485">
            <v>0</v>
          </cell>
        </row>
        <row r="5486">
          <cell r="C5486">
            <v>0</v>
          </cell>
          <cell r="O5486">
            <v>0</v>
          </cell>
          <cell r="AP5486">
            <v>0</v>
          </cell>
        </row>
        <row r="5487">
          <cell r="C5487">
            <v>0</v>
          </cell>
          <cell r="O5487">
            <v>0</v>
          </cell>
          <cell r="AP5487">
            <v>0</v>
          </cell>
        </row>
        <row r="5488">
          <cell r="C5488">
            <v>0</v>
          </cell>
          <cell r="O5488">
            <v>0</v>
          </cell>
          <cell r="AP5488">
            <v>0</v>
          </cell>
        </row>
        <row r="5489">
          <cell r="O5489">
            <v>0</v>
          </cell>
          <cell r="AP5489">
            <v>0</v>
          </cell>
        </row>
        <row r="5683">
          <cell r="C5683">
            <v>44411</v>
          </cell>
        </row>
        <row r="5684">
          <cell r="C5684">
            <v>44417</v>
          </cell>
        </row>
        <row r="5685">
          <cell r="C5685">
            <v>44417</v>
          </cell>
        </row>
        <row r="5686">
          <cell r="C5686">
            <v>44417</v>
          </cell>
        </row>
      </sheetData>
      <sheetData sheetId="4" refreshError="1"/>
      <sheetData sheetId="5">
        <row r="19">
          <cell r="E19" t="str">
            <v>Giấy mặt-KH</v>
          </cell>
        </row>
      </sheetData>
      <sheetData sheetId="6" refreshError="1"/>
      <sheetData sheetId="7">
        <row r="1">
          <cell r="C1">
            <v>44409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8.25"/>
      <sheetName val="Data NĂM"/>
      <sheetName val="BIỂU ĐỒ"/>
      <sheetName val="Sản lượng"/>
    </sheetNames>
    <sheetDataSet>
      <sheetData sheetId="0">
        <row r="7">
          <cell r="F7">
            <v>1135</v>
          </cell>
        </row>
        <row r="8">
          <cell r="F8">
            <v>11120</v>
          </cell>
        </row>
        <row r="9">
          <cell r="F9">
            <v>1945</v>
          </cell>
        </row>
        <row r="11">
          <cell r="F11">
            <v>1071.066</v>
          </cell>
        </row>
        <row r="12">
          <cell r="F12">
            <v>10112.449999999999</v>
          </cell>
        </row>
        <row r="13">
          <cell r="F13">
            <v>1818.5589999999997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B1:AO38"/>
  <sheetViews>
    <sheetView zoomScale="110" zoomScaleNormal="110" workbookViewId="0">
      <pane ySplit="3" topLeftCell="A4" activePane="bottomLeft" state="frozen"/>
      <selection pane="bottomLeft" activeCell="F13" sqref="F13"/>
    </sheetView>
  </sheetViews>
  <sheetFormatPr defaultColWidth="8.88671875" defaultRowHeight="14.4"/>
  <cols>
    <col min="1" max="1" width="0.33203125" customWidth="1"/>
    <col min="2" max="2" width="9.33203125" customWidth="1"/>
    <col min="3" max="3" width="14.33203125" customWidth="1"/>
    <col min="4" max="4" width="27.88671875" customWidth="1"/>
    <col min="6" max="6" width="14.21875" customWidth="1"/>
    <col min="7" max="8" width="6.109375" customWidth="1"/>
    <col min="9" max="10" width="6.21875" customWidth="1"/>
    <col min="11" max="14" width="6.109375" hidden="1" customWidth="1"/>
    <col min="15" max="28" width="5.88671875" hidden="1" customWidth="1"/>
    <col min="29" max="38" width="5.88671875" customWidth="1"/>
  </cols>
  <sheetData>
    <row r="1" spans="2:41" ht="15" thickBot="1">
      <c r="B1" t="s">
        <v>74</v>
      </c>
    </row>
    <row r="2" spans="2:41" s="18" customFormat="1" ht="31.8" thickBot="1">
      <c r="B2" s="20" t="s">
        <v>73</v>
      </c>
      <c r="C2" s="21"/>
      <c r="D2" s="22"/>
      <c r="G2" s="415" t="s">
        <v>136</v>
      </c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416"/>
      <c r="AL2" s="416"/>
    </row>
    <row r="3" spans="2:41">
      <c r="D3" s="4" t="s">
        <v>125</v>
      </c>
      <c r="F3" s="26" t="s">
        <v>26</v>
      </c>
      <c r="G3" s="239">
        <v>1</v>
      </c>
      <c r="H3" s="239">
        <v>2</v>
      </c>
      <c r="I3" s="239">
        <v>3</v>
      </c>
      <c r="J3" s="239">
        <v>4</v>
      </c>
      <c r="K3" s="239">
        <v>5</v>
      </c>
      <c r="L3" s="239">
        <v>6</v>
      </c>
      <c r="M3" s="239">
        <v>7</v>
      </c>
      <c r="N3" s="239">
        <v>8</v>
      </c>
      <c r="O3" s="239">
        <v>9</v>
      </c>
      <c r="P3" s="239">
        <v>10</v>
      </c>
      <c r="Q3" s="239">
        <v>11</v>
      </c>
      <c r="R3" s="239">
        <v>12</v>
      </c>
      <c r="S3" s="239">
        <v>13</v>
      </c>
      <c r="T3" s="239">
        <v>14</v>
      </c>
      <c r="U3" s="239">
        <v>15</v>
      </c>
      <c r="V3" s="239">
        <v>16</v>
      </c>
      <c r="W3" s="239">
        <v>17</v>
      </c>
      <c r="X3" s="239">
        <v>18</v>
      </c>
      <c r="Y3" s="239">
        <v>19</v>
      </c>
      <c r="Z3" s="239">
        <v>20</v>
      </c>
      <c r="AA3" s="239">
        <v>21</v>
      </c>
      <c r="AB3" s="239">
        <v>22</v>
      </c>
      <c r="AC3" s="239">
        <v>23</v>
      </c>
      <c r="AD3" s="239">
        <v>24</v>
      </c>
      <c r="AE3" s="239">
        <v>25</v>
      </c>
      <c r="AF3" s="239">
        <v>26</v>
      </c>
      <c r="AG3" s="239">
        <v>27</v>
      </c>
      <c r="AH3" s="239">
        <v>28</v>
      </c>
      <c r="AI3" s="239">
        <v>29</v>
      </c>
      <c r="AJ3" s="239">
        <v>30</v>
      </c>
      <c r="AK3" s="239">
        <v>31</v>
      </c>
      <c r="AL3" s="290"/>
    </row>
    <row r="4" spans="2:41">
      <c r="B4" s="405" t="s">
        <v>31</v>
      </c>
      <c r="C4" s="405"/>
      <c r="D4" s="2" t="s">
        <v>104</v>
      </c>
      <c r="E4" s="3" t="s">
        <v>1</v>
      </c>
      <c r="F4" s="24">
        <f>SUM(G4:AL4)</f>
        <v>30</v>
      </c>
      <c r="G4" s="240">
        <v>1</v>
      </c>
      <c r="H4" s="240">
        <v>1</v>
      </c>
      <c r="I4" s="240">
        <v>1</v>
      </c>
      <c r="J4" s="240">
        <v>1</v>
      </c>
      <c r="K4" s="240">
        <v>1</v>
      </c>
      <c r="L4" s="240">
        <v>1</v>
      </c>
      <c r="M4" s="240">
        <v>1</v>
      </c>
      <c r="N4" s="240">
        <v>1</v>
      </c>
      <c r="O4" s="240">
        <v>1</v>
      </c>
      <c r="P4" s="240">
        <v>1</v>
      </c>
      <c r="Q4" s="240">
        <v>1</v>
      </c>
      <c r="R4" s="240">
        <v>1</v>
      </c>
      <c r="S4" s="240"/>
      <c r="T4" s="240">
        <v>1</v>
      </c>
      <c r="U4" s="240">
        <v>1</v>
      </c>
      <c r="V4" s="240">
        <v>1</v>
      </c>
      <c r="W4" s="240">
        <v>1</v>
      </c>
      <c r="X4" s="240">
        <v>1</v>
      </c>
      <c r="Y4" s="240">
        <v>1</v>
      </c>
      <c r="Z4" s="240">
        <v>1</v>
      </c>
      <c r="AA4" s="240">
        <v>1</v>
      </c>
      <c r="AB4" s="240">
        <v>1</v>
      </c>
      <c r="AC4" s="240">
        <v>1</v>
      </c>
      <c r="AD4" s="240">
        <v>1</v>
      </c>
      <c r="AE4" s="240">
        <v>1</v>
      </c>
      <c r="AF4" s="240">
        <v>1</v>
      </c>
      <c r="AG4" s="240">
        <v>1</v>
      </c>
      <c r="AH4" s="240">
        <v>1</v>
      </c>
      <c r="AI4" s="240">
        <v>1</v>
      </c>
      <c r="AJ4" s="240">
        <v>1</v>
      </c>
      <c r="AK4" s="240">
        <v>1</v>
      </c>
      <c r="AL4" s="240"/>
    </row>
    <row r="5" spans="2:41">
      <c r="B5" s="405"/>
      <c r="C5" s="405"/>
      <c r="D5" s="2" t="s">
        <v>30</v>
      </c>
      <c r="E5" s="3" t="s">
        <v>1</v>
      </c>
      <c r="F5" s="24">
        <f t="shared" ref="F5:F30" si="0">SUM(G5:AL5)</f>
        <v>30</v>
      </c>
      <c r="G5" s="240">
        <v>1</v>
      </c>
      <c r="H5" s="240">
        <v>1</v>
      </c>
      <c r="I5" s="240">
        <v>1</v>
      </c>
      <c r="J5" s="240">
        <v>1</v>
      </c>
      <c r="K5" s="240">
        <v>1</v>
      </c>
      <c r="L5" s="240">
        <v>1</v>
      </c>
      <c r="M5" s="240">
        <v>1</v>
      </c>
      <c r="N5" s="240">
        <v>1</v>
      </c>
      <c r="O5" s="240">
        <v>1</v>
      </c>
      <c r="P5" s="240">
        <v>1</v>
      </c>
      <c r="Q5" s="240">
        <v>1</v>
      </c>
      <c r="R5" s="240">
        <v>1</v>
      </c>
      <c r="S5" s="240"/>
      <c r="T5" s="240">
        <v>1</v>
      </c>
      <c r="U5" s="240">
        <v>1</v>
      </c>
      <c r="V5" s="240">
        <v>1</v>
      </c>
      <c r="W5" s="240">
        <v>1</v>
      </c>
      <c r="X5" s="240">
        <v>1</v>
      </c>
      <c r="Y5" s="240">
        <v>1</v>
      </c>
      <c r="Z5" s="240">
        <v>1</v>
      </c>
      <c r="AA5" s="240">
        <v>1</v>
      </c>
      <c r="AB5" s="240">
        <v>1</v>
      </c>
      <c r="AC5" s="240">
        <v>1</v>
      </c>
      <c r="AD5" s="240">
        <v>1</v>
      </c>
      <c r="AE5" s="240">
        <v>1</v>
      </c>
      <c r="AF5" s="240">
        <v>1</v>
      </c>
      <c r="AG5" s="240">
        <v>1</v>
      </c>
      <c r="AH5" s="240">
        <v>1</v>
      </c>
      <c r="AI5" s="240">
        <v>1</v>
      </c>
      <c r="AJ5" s="240">
        <v>1</v>
      </c>
      <c r="AK5" s="240">
        <v>1</v>
      </c>
      <c r="AL5" s="240"/>
    </row>
    <row r="6" spans="2:41">
      <c r="B6" s="173"/>
      <c r="C6" s="173"/>
      <c r="D6" s="2" t="s">
        <v>99</v>
      </c>
      <c r="E6" s="3" t="s">
        <v>1</v>
      </c>
      <c r="F6" s="24">
        <f t="shared" si="0"/>
        <v>3</v>
      </c>
      <c r="G6" s="241">
        <v>0</v>
      </c>
      <c r="H6" s="241">
        <v>0</v>
      </c>
      <c r="I6" s="241">
        <v>0</v>
      </c>
      <c r="J6" s="241">
        <v>0</v>
      </c>
      <c r="K6" s="241">
        <v>0</v>
      </c>
      <c r="L6" s="241">
        <v>0</v>
      </c>
      <c r="M6" s="241">
        <v>0</v>
      </c>
      <c r="N6" s="241">
        <v>0</v>
      </c>
      <c r="O6" s="241">
        <v>0</v>
      </c>
      <c r="P6" s="241">
        <v>0</v>
      </c>
      <c r="Q6" s="241">
        <v>0</v>
      </c>
      <c r="R6" s="241">
        <v>0</v>
      </c>
      <c r="S6" s="241"/>
      <c r="T6" s="241">
        <v>0</v>
      </c>
      <c r="U6" s="241">
        <v>0</v>
      </c>
      <c r="V6" s="241">
        <v>0</v>
      </c>
      <c r="W6" s="241">
        <v>0</v>
      </c>
      <c r="X6" s="241">
        <v>0</v>
      </c>
      <c r="Y6" s="241">
        <v>0</v>
      </c>
      <c r="Z6" s="241">
        <v>0</v>
      </c>
      <c r="AA6" s="241">
        <v>0</v>
      </c>
      <c r="AB6" s="241">
        <v>0</v>
      </c>
      <c r="AC6" s="241">
        <v>0</v>
      </c>
      <c r="AD6" s="241">
        <v>0</v>
      </c>
      <c r="AE6" s="241">
        <v>0</v>
      </c>
      <c r="AF6" s="241">
        <v>0</v>
      </c>
      <c r="AG6" s="241">
        <v>0</v>
      </c>
      <c r="AH6" s="241">
        <v>0</v>
      </c>
      <c r="AI6" s="241">
        <v>1</v>
      </c>
      <c r="AJ6" s="241">
        <v>1</v>
      </c>
      <c r="AK6" s="241">
        <v>1</v>
      </c>
      <c r="AL6" s="241"/>
    </row>
    <row r="7" spans="2:41">
      <c r="B7" s="406" t="s">
        <v>5</v>
      </c>
      <c r="C7" s="406" t="s">
        <v>6</v>
      </c>
      <c r="D7" s="4" t="s">
        <v>7</v>
      </c>
      <c r="E7" s="5" t="s">
        <v>3</v>
      </c>
      <c r="F7" s="24">
        <f t="shared" si="0"/>
        <v>1040</v>
      </c>
      <c r="G7" s="313">
        <v>250</v>
      </c>
      <c r="H7" s="313">
        <v>70</v>
      </c>
      <c r="I7" s="246">
        <v>10</v>
      </c>
      <c r="J7" s="246"/>
      <c r="K7" s="246"/>
      <c r="L7" s="246"/>
      <c r="M7" s="246"/>
      <c r="N7" s="246"/>
      <c r="O7" s="246"/>
      <c r="P7" s="246"/>
      <c r="Q7" s="246"/>
      <c r="R7" s="246">
        <v>200</v>
      </c>
      <c r="S7" s="313"/>
      <c r="T7" s="313">
        <v>110</v>
      </c>
      <c r="U7" s="313"/>
      <c r="V7" s="313">
        <v>150</v>
      </c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>
        <v>50</v>
      </c>
      <c r="AH7" s="313">
        <v>165</v>
      </c>
      <c r="AI7" s="313">
        <v>35</v>
      </c>
      <c r="AJ7" s="313"/>
      <c r="AK7" s="313"/>
      <c r="AL7" s="243"/>
      <c r="AM7" s="27"/>
      <c r="AO7" s="27"/>
    </row>
    <row r="8" spans="2:41">
      <c r="B8" s="406"/>
      <c r="C8" s="406"/>
      <c r="D8" s="174" t="s">
        <v>8</v>
      </c>
      <c r="E8" s="6" t="s">
        <v>3</v>
      </c>
      <c r="F8" s="24">
        <f t="shared" si="0"/>
        <v>11835</v>
      </c>
      <c r="G8" s="313">
        <v>100</v>
      </c>
      <c r="H8" s="313">
        <v>350</v>
      </c>
      <c r="I8" s="246">
        <v>470</v>
      </c>
      <c r="J8" s="246">
        <v>490</v>
      </c>
      <c r="K8" s="246">
        <v>500</v>
      </c>
      <c r="L8" s="246">
        <v>520</v>
      </c>
      <c r="M8" s="246">
        <v>490</v>
      </c>
      <c r="N8" s="246">
        <v>450</v>
      </c>
      <c r="O8" s="246">
        <v>510</v>
      </c>
      <c r="P8" s="246">
        <v>450</v>
      </c>
      <c r="Q8" s="246">
        <v>480</v>
      </c>
      <c r="R8" s="246">
        <v>100</v>
      </c>
      <c r="S8" s="313"/>
      <c r="T8" s="313">
        <v>280</v>
      </c>
      <c r="U8" s="313">
        <v>500</v>
      </c>
      <c r="V8" s="313">
        <v>150</v>
      </c>
      <c r="W8" s="313">
        <v>510</v>
      </c>
      <c r="X8" s="313">
        <v>500</v>
      </c>
      <c r="Y8" s="313">
        <v>460</v>
      </c>
      <c r="Z8" s="313">
        <v>500</v>
      </c>
      <c r="AA8" s="313">
        <v>510</v>
      </c>
      <c r="AB8" s="313">
        <v>500</v>
      </c>
      <c r="AC8" s="313">
        <v>530</v>
      </c>
      <c r="AD8" s="313">
        <v>540</v>
      </c>
      <c r="AE8" s="313">
        <v>530</v>
      </c>
      <c r="AF8" s="313">
        <v>480</v>
      </c>
      <c r="AG8" s="313">
        <v>450</v>
      </c>
      <c r="AH8" s="313">
        <v>165</v>
      </c>
      <c r="AI8" s="313">
        <v>320</v>
      </c>
      <c r="AJ8" s="313"/>
      <c r="AK8" s="313"/>
      <c r="AL8" s="244"/>
      <c r="AM8" s="27"/>
      <c r="AO8" s="27"/>
    </row>
    <row r="9" spans="2:41">
      <c r="B9" s="406"/>
      <c r="C9" s="406"/>
      <c r="D9" s="28" t="s">
        <v>95</v>
      </c>
      <c r="E9" s="29" t="s">
        <v>3</v>
      </c>
      <c r="F9" s="24">
        <f t="shared" si="0"/>
        <v>1125</v>
      </c>
      <c r="G9" s="313"/>
      <c r="H9" s="313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>
        <v>125</v>
      </c>
      <c r="AJ9" s="313">
        <v>500</v>
      </c>
      <c r="AK9" s="313">
        <v>500</v>
      </c>
      <c r="AL9" s="243"/>
      <c r="AM9" s="27"/>
      <c r="AN9" s="542"/>
      <c r="AO9" s="27"/>
    </row>
    <row r="10" spans="2:41" ht="20.399999999999999" customHeight="1">
      <c r="B10" s="406"/>
      <c r="C10" s="406"/>
      <c r="D10" s="7" t="s">
        <v>27</v>
      </c>
      <c r="E10" s="8" t="s">
        <v>3</v>
      </c>
      <c r="F10" s="24">
        <f t="shared" si="0"/>
        <v>14000</v>
      </c>
      <c r="G10" s="245">
        <f t="shared" ref="G10:AK10" si="1">+SUM(G7:G9)</f>
        <v>350</v>
      </c>
      <c r="H10" s="245">
        <f t="shared" si="1"/>
        <v>420</v>
      </c>
      <c r="I10" s="245">
        <f t="shared" si="1"/>
        <v>480</v>
      </c>
      <c r="J10" s="245">
        <f t="shared" si="1"/>
        <v>490</v>
      </c>
      <c r="K10" s="245">
        <f t="shared" si="1"/>
        <v>500</v>
      </c>
      <c r="L10" s="245">
        <f t="shared" si="1"/>
        <v>520</v>
      </c>
      <c r="M10" s="245">
        <f>+SUM(M7:M9)</f>
        <v>490</v>
      </c>
      <c r="N10" s="245">
        <f t="shared" si="1"/>
        <v>450</v>
      </c>
      <c r="O10" s="245">
        <f t="shared" si="1"/>
        <v>510</v>
      </c>
      <c r="P10" s="245">
        <f t="shared" si="1"/>
        <v>450</v>
      </c>
      <c r="Q10" s="245">
        <f t="shared" si="1"/>
        <v>480</v>
      </c>
      <c r="R10" s="245">
        <f t="shared" si="1"/>
        <v>300</v>
      </c>
      <c r="S10" s="245">
        <f t="shared" si="1"/>
        <v>0</v>
      </c>
      <c r="T10" s="245">
        <f t="shared" si="1"/>
        <v>390</v>
      </c>
      <c r="U10" s="245">
        <f t="shared" si="1"/>
        <v>500</v>
      </c>
      <c r="V10" s="245">
        <f t="shared" si="1"/>
        <v>300</v>
      </c>
      <c r="W10" s="245">
        <f t="shared" si="1"/>
        <v>510</v>
      </c>
      <c r="X10" s="245">
        <f t="shared" si="1"/>
        <v>500</v>
      </c>
      <c r="Y10" s="245">
        <f t="shared" si="1"/>
        <v>460</v>
      </c>
      <c r="Z10" s="245">
        <f t="shared" si="1"/>
        <v>500</v>
      </c>
      <c r="AA10" s="245">
        <f t="shared" si="1"/>
        <v>510</v>
      </c>
      <c r="AB10" s="245">
        <f t="shared" si="1"/>
        <v>500</v>
      </c>
      <c r="AC10" s="245">
        <f t="shared" si="1"/>
        <v>530</v>
      </c>
      <c r="AD10" s="245">
        <f t="shared" si="1"/>
        <v>540</v>
      </c>
      <c r="AE10" s="245">
        <f t="shared" si="1"/>
        <v>530</v>
      </c>
      <c r="AF10" s="245">
        <f t="shared" si="1"/>
        <v>480</v>
      </c>
      <c r="AG10" s="245">
        <f t="shared" si="1"/>
        <v>500</v>
      </c>
      <c r="AH10" s="245">
        <f t="shared" si="1"/>
        <v>330</v>
      </c>
      <c r="AI10" s="245">
        <f t="shared" si="1"/>
        <v>480</v>
      </c>
      <c r="AJ10" s="245">
        <f t="shared" si="1"/>
        <v>500</v>
      </c>
      <c r="AK10" s="245">
        <f t="shared" si="1"/>
        <v>500</v>
      </c>
      <c r="AL10" s="245">
        <f>AL7+AL9+AL8</f>
        <v>0</v>
      </c>
      <c r="AM10" s="27"/>
      <c r="AN10" s="27"/>
    </row>
    <row r="11" spans="2:41">
      <c r="B11" s="407" t="s">
        <v>9</v>
      </c>
      <c r="C11" s="407" t="s">
        <v>10</v>
      </c>
      <c r="D11" s="9" t="s">
        <v>2</v>
      </c>
      <c r="E11" s="5" t="s">
        <v>3</v>
      </c>
      <c r="F11" s="24">
        <f t="shared" si="0"/>
        <v>941.50200000000007</v>
      </c>
      <c r="G11" s="246">
        <v>225.113</v>
      </c>
      <c r="H11" s="246">
        <v>70.328000000000003</v>
      </c>
      <c r="I11" s="246">
        <v>9.5239999999999991</v>
      </c>
      <c r="J11" s="246"/>
      <c r="K11" s="246"/>
      <c r="L11" s="247"/>
      <c r="M11" s="246"/>
      <c r="N11" s="246"/>
      <c r="O11" s="246"/>
      <c r="P11" s="246"/>
      <c r="Q11" s="246"/>
      <c r="R11" s="246">
        <v>163.88300000000001</v>
      </c>
      <c r="S11" s="246"/>
      <c r="T11" s="246">
        <v>88.072999999999993</v>
      </c>
      <c r="U11" s="246"/>
      <c r="V11" s="246">
        <v>148.262</v>
      </c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>
        <v>46.447000000000003</v>
      </c>
      <c r="AH11" s="246">
        <v>155.03100000000001</v>
      </c>
      <c r="AI11" s="246">
        <v>34.841000000000001</v>
      </c>
      <c r="AJ11" s="246"/>
      <c r="AK11" s="246"/>
      <c r="AL11" s="246"/>
      <c r="AM11" s="27"/>
      <c r="AO11" s="27"/>
    </row>
    <row r="12" spans="2:41">
      <c r="B12" s="407"/>
      <c r="C12" s="407"/>
      <c r="D12" s="10" t="s">
        <v>4</v>
      </c>
      <c r="E12" s="6" t="s">
        <v>3</v>
      </c>
      <c r="F12" s="24">
        <f t="shared" si="0"/>
        <v>11145.36</v>
      </c>
      <c r="G12" s="247">
        <v>87.174999999999997</v>
      </c>
      <c r="H12" s="247">
        <v>333.601</v>
      </c>
      <c r="I12" s="247">
        <v>399.904</v>
      </c>
      <c r="J12" s="247">
        <v>452.12599999999998</v>
      </c>
      <c r="K12" s="247">
        <v>507.52499999999998</v>
      </c>
      <c r="L12" s="247">
        <v>516.42700000000002</v>
      </c>
      <c r="M12" s="398">
        <v>491.10500000000002</v>
      </c>
      <c r="N12" s="247">
        <v>435.798</v>
      </c>
      <c r="O12" s="246">
        <v>489.23200000000003</v>
      </c>
      <c r="P12" s="246">
        <v>437.57600000000002</v>
      </c>
      <c r="Q12" s="247">
        <v>416.22300000000001</v>
      </c>
      <c r="R12" s="247">
        <v>89.94</v>
      </c>
      <c r="S12" s="246"/>
      <c r="T12" s="246">
        <v>182.20400000000001</v>
      </c>
      <c r="U12" s="246">
        <v>481.73399999999998</v>
      </c>
      <c r="V12" s="247">
        <v>137.87700000000001</v>
      </c>
      <c r="W12" s="246">
        <v>473.30900000000003</v>
      </c>
      <c r="X12" s="246">
        <v>473.16899999999998</v>
      </c>
      <c r="Y12" s="246">
        <v>453.90699999999998</v>
      </c>
      <c r="Z12" s="246">
        <v>494.69900000000001</v>
      </c>
      <c r="AA12" s="246">
        <v>484.96100000000001</v>
      </c>
      <c r="AB12" s="246">
        <v>426.851</v>
      </c>
      <c r="AC12" s="246">
        <v>510.07499999999999</v>
      </c>
      <c r="AD12" s="246">
        <v>525.928</v>
      </c>
      <c r="AE12" s="246">
        <v>517.88300000000004</v>
      </c>
      <c r="AF12" s="247">
        <v>437.34</v>
      </c>
      <c r="AG12" s="247">
        <v>434.61</v>
      </c>
      <c r="AH12" s="246">
        <v>160.49700000000001</v>
      </c>
      <c r="AI12" s="246">
        <v>293.68400000000003</v>
      </c>
      <c r="AJ12" s="246"/>
      <c r="AK12" s="247"/>
      <c r="AL12" s="246"/>
      <c r="AM12" s="27"/>
      <c r="AO12" s="27"/>
    </row>
    <row r="13" spans="2:41">
      <c r="B13" s="407"/>
      <c r="C13" s="407"/>
      <c r="D13" s="30" t="s">
        <v>96</v>
      </c>
      <c r="E13" s="29" t="s">
        <v>3</v>
      </c>
      <c r="F13" s="24">
        <f t="shared" si="0"/>
        <v>1032.4079999999999</v>
      </c>
      <c r="G13" s="247"/>
      <c r="H13" s="247"/>
      <c r="I13" s="247"/>
      <c r="J13" s="247"/>
      <c r="K13" s="247"/>
      <c r="L13" s="247"/>
      <c r="M13" s="247"/>
      <c r="N13" s="247"/>
      <c r="O13" s="246"/>
      <c r="P13" s="246"/>
      <c r="Q13" s="247"/>
      <c r="R13" s="247"/>
      <c r="S13" s="246"/>
      <c r="T13" s="246"/>
      <c r="U13" s="246"/>
      <c r="V13" s="247"/>
      <c r="W13" s="246"/>
      <c r="X13" s="246"/>
      <c r="Y13" s="246"/>
      <c r="Z13" s="246"/>
      <c r="AA13" s="246"/>
      <c r="AB13" s="246"/>
      <c r="AC13" s="246"/>
      <c r="AD13" s="246"/>
      <c r="AE13" s="246"/>
      <c r="AF13" s="247"/>
      <c r="AG13" s="247"/>
      <c r="AH13" s="247"/>
      <c r="AI13" s="247">
        <v>119.193</v>
      </c>
      <c r="AJ13" s="247">
        <v>484.541</v>
      </c>
      <c r="AK13" s="247">
        <v>428.67399999999998</v>
      </c>
      <c r="AL13" s="247"/>
      <c r="AM13" s="27"/>
      <c r="AO13" s="27"/>
    </row>
    <row r="14" spans="2:41" ht="20.399999999999999" customHeight="1">
      <c r="B14" s="407"/>
      <c r="C14" s="407"/>
      <c r="D14" s="11" t="s">
        <v>28</v>
      </c>
      <c r="E14" s="12" t="s">
        <v>3</v>
      </c>
      <c r="F14" s="24">
        <f>SUM(G14:AL14)</f>
        <v>13119.270000000004</v>
      </c>
      <c r="G14" s="248">
        <f t="shared" ref="G14:AK14" si="2">+SUM(G11:G13)</f>
        <v>312.28800000000001</v>
      </c>
      <c r="H14" s="248">
        <f t="shared" si="2"/>
        <v>403.92899999999997</v>
      </c>
      <c r="I14" s="248">
        <f t="shared" si="2"/>
        <v>409.428</v>
      </c>
      <c r="J14" s="248">
        <f t="shared" si="2"/>
        <v>452.12599999999998</v>
      </c>
      <c r="K14" s="248">
        <f t="shared" si="2"/>
        <v>507.52499999999998</v>
      </c>
      <c r="L14" s="248">
        <f t="shared" si="2"/>
        <v>516.42700000000002</v>
      </c>
      <c r="M14" s="248">
        <f t="shared" si="2"/>
        <v>491.10500000000002</v>
      </c>
      <c r="N14" s="248">
        <f t="shared" si="2"/>
        <v>435.798</v>
      </c>
      <c r="O14" s="248">
        <f t="shared" si="2"/>
        <v>489.23200000000003</v>
      </c>
      <c r="P14" s="248">
        <f>+SUM(P11:P13)</f>
        <v>437.57600000000002</v>
      </c>
      <c r="Q14" s="248">
        <f t="shared" si="2"/>
        <v>416.22300000000001</v>
      </c>
      <c r="R14" s="248">
        <f t="shared" si="2"/>
        <v>253.82300000000001</v>
      </c>
      <c r="S14" s="248">
        <f t="shared" si="2"/>
        <v>0</v>
      </c>
      <c r="T14" s="248">
        <f t="shared" si="2"/>
        <v>270.27699999999999</v>
      </c>
      <c r="U14" s="248">
        <f t="shared" si="2"/>
        <v>481.73399999999998</v>
      </c>
      <c r="V14" s="248">
        <f t="shared" si="2"/>
        <v>286.13900000000001</v>
      </c>
      <c r="W14" s="248">
        <f t="shared" si="2"/>
        <v>473.30900000000003</v>
      </c>
      <c r="X14" s="248">
        <f t="shared" si="2"/>
        <v>473.16899999999998</v>
      </c>
      <c r="Y14" s="248">
        <f t="shared" si="2"/>
        <v>453.90699999999998</v>
      </c>
      <c r="Z14" s="248">
        <f t="shared" si="2"/>
        <v>494.69900000000001</v>
      </c>
      <c r="AA14" s="248">
        <f>+SUM(AA11:AA13)</f>
        <v>484.96100000000001</v>
      </c>
      <c r="AB14" s="248">
        <f t="shared" si="2"/>
        <v>426.851</v>
      </c>
      <c r="AC14" s="248">
        <f t="shared" si="2"/>
        <v>510.07499999999999</v>
      </c>
      <c r="AD14" s="248">
        <f t="shared" si="2"/>
        <v>525.928</v>
      </c>
      <c r="AE14" s="248">
        <f t="shared" si="2"/>
        <v>517.88300000000004</v>
      </c>
      <c r="AF14" s="248">
        <f t="shared" si="2"/>
        <v>437.34</v>
      </c>
      <c r="AG14" s="248">
        <f t="shared" si="2"/>
        <v>481.05700000000002</v>
      </c>
      <c r="AH14" s="248">
        <f t="shared" si="2"/>
        <v>315.52800000000002</v>
      </c>
      <c r="AI14" s="248">
        <f t="shared" si="2"/>
        <v>447.71800000000002</v>
      </c>
      <c r="AJ14" s="248">
        <f t="shared" si="2"/>
        <v>484.541</v>
      </c>
      <c r="AK14" s="248">
        <f t="shared" si="2"/>
        <v>428.67399999999998</v>
      </c>
      <c r="AL14" s="248">
        <f>AL11+AL12+AL13</f>
        <v>0</v>
      </c>
      <c r="AM14" s="27"/>
      <c r="AN14" s="27"/>
    </row>
    <row r="15" spans="2:41" ht="17.399999999999999" customHeight="1">
      <c r="B15" s="408" t="s">
        <v>12</v>
      </c>
      <c r="C15" s="408" t="s">
        <v>11</v>
      </c>
      <c r="D15" s="14" t="s">
        <v>13</v>
      </c>
      <c r="E15" s="15" t="s">
        <v>3</v>
      </c>
      <c r="F15" s="24">
        <f t="shared" si="0"/>
        <v>-98.49799999999999</v>
      </c>
      <c r="G15" s="249">
        <f t="shared" ref="G15:AL15" si="3">G11-G7</f>
        <v>-24.887</v>
      </c>
      <c r="H15" s="249">
        <f t="shared" si="3"/>
        <v>0.32800000000000296</v>
      </c>
      <c r="I15" s="249">
        <f t="shared" si="3"/>
        <v>-0.47600000000000087</v>
      </c>
      <c r="J15" s="249">
        <f t="shared" si="3"/>
        <v>0</v>
      </c>
      <c r="K15" s="249">
        <f t="shared" si="3"/>
        <v>0</v>
      </c>
      <c r="L15" s="249">
        <f t="shared" si="3"/>
        <v>0</v>
      </c>
      <c r="M15" s="249">
        <f>M11-M7</f>
        <v>0</v>
      </c>
      <c r="N15" s="249">
        <f t="shared" si="3"/>
        <v>0</v>
      </c>
      <c r="O15" s="249">
        <f t="shared" si="3"/>
        <v>0</v>
      </c>
      <c r="P15" s="249">
        <f t="shared" si="3"/>
        <v>0</v>
      </c>
      <c r="Q15" s="249">
        <f t="shared" si="3"/>
        <v>0</v>
      </c>
      <c r="R15" s="249">
        <f t="shared" si="3"/>
        <v>-36.11699999999999</v>
      </c>
      <c r="S15" s="249">
        <f t="shared" si="3"/>
        <v>0</v>
      </c>
      <c r="T15" s="249">
        <f t="shared" si="3"/>
        <v>-21.927000000000007</v>
      </c>
      <c r="U15" s="249">
        <f t="shared" si="3"/>
        <v>0</v>
      </c>
      <c r="V15" s="249">
        <f t="shared" si="3"/>
        <v>-1.7379999999999995</v>
      </c>
      <c r="W15" s="249">
        <f t="shared" si="3"/>
        <v>0</v>
      </c>
      <c r="X15" s="249">
        <f t="shared" si="3"/>
        <v>0</v>
      </c>
      <c r="Y15" s="249">
        <f t="shared" si="3"/>
        <v>0</v>
      </c>
      <c r="Z15" s="249">
        <f t="shared" si="3"/>
        <v>0</v>
      </c>
      <c r="AA15" s="249">
        <f t="shared" si="3"/>
        <v>0</v>
      </c>
      <c r="AB15" s="249">
        <f t="shared" si="3"/>
        <v>0</v>
      </c>
      <c r="AC15" s="249">
        <f t="shared" si="3"/>
        <v>0</v>
      </c>
      <c r="AD15" s="249">
        <f t="shared" si="3"/>
        <v>0</v>
      </c>
      <c r="AE15" s="249">
        <f t="shared" si="3"/>
        <v>0</v>
      </c>
      <c r="AF15" s="249">
        <f t="shared" si="3"/>
        <v>0</v>
      </c>
      <c r="AG15" s="249">
        <f t="shared" si="3"/>
        <v>-3.5529999999999973</v>
      </c>
      <c r="AH15" s="249">
        <f t="shared" si="3"/>
        <v>-9.9689999999999941</v>
      </c>
      <c r="AI15" s="249">
        <f t="shared" si="3"/>
        <v>-0.15899999999999892</v>
      </c>
      <c r="AJ15" s="249">
        <f t="shared" si="3"/>
        <v>0</v>
      </c>
      <c r="AK15" s="249">
        <f t="shared" ref="AK15" si="4">AK11-AK7</f>
        <v>0</v>
      </c>
      <c r="AL15" s="249">
        <f t="shared" si="3"/>
        <v>0</v>
      </c>
      <c r="AM15" s="288"/>
    </row>
    <row r="16" spans="2:41">
      <c r="B16" s="408"/>
      <c r="C16" s="408"/>
      <c r="D16" s="16" t="s">
        <v>14</v>
      </c>
      <c r="E16" s="17" t="s">
        <v>3</v>
      </c>
      <c r="F16" s="24">
        <f t="shared" si="0"/>
        <v>-689.63999999999987</v>
      </c>
      <c r="G16" s="250">
        <f t="shared" ref="G16:AL16" si="5">G12-G8</f>
        <v>-12.825000000000003</v>
      </c>
      <c r="H16" s="250">
        <f t="shared" si="5"/>
        <v>-16.399000000000001</v>
      </c>
      <c r="I16" s="250">
        <f t="shared" si="5"/>
        <v>-70.096000000000004</v>
      </c>
      <c r="J16" s="250">
        <f t="shared" si="5"/>
        <v>-37.874000000000024</v>
      </c>
      <c r="K16" s="250">
        <f t="shared" si="5"/>
        <v>7.5249999999999773</v>
      </c>
      <c r="L16" s="250">
        <f t="shared" si="5"/>
        <v>-3.5729999999999791</v>
      </c>
      <c r="M16" s="250">
        <f>M12-M8</f>
        <v>1.1050000000000182</v>
      </c>
      <c r="N16" s="250">
        <f t="shared" si="5"/>
        <v>-14.201999999999998</v>
      </c>
      <c r="O16" s="250">
        <f t="shared" si="5"/>
        <v>-20.767999999999972</v>
      </c>
      <c r="P16" s="250">
        <f t="shared" si="5"/>
        <v>-12.423999999999978</v>
      </c>
      <c r="Q16" s="250">
        <f t="shared" si="5"/>
        <v>-63.776999999999987</v>
      </c>
      <c r="R16" s="250">
        <f t="shared" si="5"/>
        <v>-10.060000000000002</v>
      </c>
      <c r="S16" s="250">
        <f t="shared" si="5"/>
        <v>0</v>
      </c>
      <c r="T16" s="250">
        <f t="shared" si="5"/>
        <v>-97.795999999999992</v>
      </c>
      <c r="U16" s="250">
        <f t="shared" si="5"/>
        <v>-18.26600000000002</v>
      </c>
      <c r="V16" s="250">
        <f t="shared" si="5"/>
        <v>-12.12299999999999</v>
      </c>
      <c r="W16" s="250">
        <f t="shared" si="5"/>
        <v>-36.690999999999974</v>
      </c>
      <c r="X16" s="250">
        <f t="shared" si="5"/>
        <v>-26.831000000000017</v>
      </c>
      <c r="Y16" s="250">
        <f t="shared" si="5"/>
        <v>-6.0930000000000177</v>
      </c>
      <c r="Z16" s="250">
        <f t="shared" si="5"/>
        <v>-5.3009999999999877</v>
      </c>
      <c r="AA16" s="250">
        <f t="shared" si="5"/>
        <v>-25.038999999999987</v>
      </c>
      <c r="AB16" s="250">
        <f t="shared" si="5"/>
        <v>-73.149000000000001</v>
      </c>
      <c r="AC16" s="250">
        <f t="shared" si="5"/>
        <v>-19.925000000000011</v>
      </c>
      <c r="AD16" s="250">
        <f t="shared" si="5"/>
        <v>-14.072000000000003</v>
      </c>
      <c r="AE16" s="250">
        <f>AE12-AE8</f>
        <v>-12.116999999999962</v>
      </c>
      <c r="AF16" s="250">
        <f>AF12-AF8</f>
        <v>-42.660000000000025</v>
      </c>
      <c r="AG16" s="250">
        <f t="shared" si="5"/>
        <v>-15.389999999999986</v>
      </c>
      <c r="AH16" s="250">
        <f t="shared" si="5"/>
        <v>-4.5029999999999859</v>
      </c>
      <c r="AI16" s="250">
        <f t="shared" si="5"/>
        <v>-26.315999999999974</v>
      </c>
      <c r="AJ16" s="250">
        <f t="shared" si="5"/>
        <v>0</v>
      </c>
      <c r="AK16" s="250">
        <f t="shared" ref="AK16" si="6">AK12-AK8</f>
        <v>0</v>
      </c>
      <c r="AL16" s="250">
        <f t="shared" si="5"/>
        <v>0</v>
      </c>
      <c r="AM16" s="288"/>
    </row>
    <row r="17" spans="2:41">
      <c r="B17" s="408"/>
      <c r="C17" s="408"/>
      <c r="D17" s="16" t="s">
        <v>97</v>
      </c>
      <c r="E17" s="17" t="s">
        <v>3</v>
      </c>
      <c r="F17" s="24">
        <f t="shared" si="0"/>
        <v>-92.592000000000027</v>
      </c>
      <c r="G17" s="250">
        <f t="shared" ref="G17:AL17" si="7">G13-G9</f>
        <v>0</v>
      </c>
      <c r="H17" s="250">
        <f t="shared" si="7"/>
        <v>0</v>
      </c>
      <c r="I17" s="250">
        <f t="shared" si="7"/>
        <v>0</v>
      </c>
      <c r="J17" s="250">
        <f t="shared" si="7"/>
        <v>0</v>
      </c>
      <c r="K17" s="250">
        <f t="shared" si="7"/>
        <v>0</v>
      </c>
      <c r="L17" s="250">
        <f t="shared" si="7"/>
        <v>0</v>
      </c>
      <c r="M17" s="250">
        <f t="shared" si="7"/>
        <v>0</v>
      </c>
      <c r="N17" s="250">
        <f t="shared" si="7"/>
        <v>0</v>
      </c>
      <c r="O17" s="250">
        <f t="shared" si="7"/>
        <v>0</v>
      </c>
      <c r="P17" s="250">
        <f t="shared" si="7"/>
        <v>0</v>
      </c>
      <c r="Q17" s="250">
        <f t="shared" si="7"/>
        <v>0</v>
      </c>
      <c r="R17" s="250">
        <f t="shared" si="7"/>
        <v>0</v>
      </c>
      <c r="S17" s="250">
        <f t="shared" si="7"/>
        <v>0</v>
      </c>
      <c r="T17" s="250">
        <f t="shared" si="7"/>
        <v>0</v>
      </c>
      <c r="U17" s="250">
        <f t="shared" si="7"/>
        <v>0</v>
      </c>
      <c r="V17" s="250">
        <f t="shared" si="7"/>
        <v>0</v>
      </c>
      <c r="W17" s="250">
        <f t="shared" si="7"/>
        <v>0</v>
      </c>
      <c r="X17" s="250">
        <f t="shared" si="7"/>
        <v>0</v>
      </c>
      <c r="Y17" s="250">
        <f t="shared" si="7"/>
        <v>0</v>
      </c>
      <c r="Z17" s="250">
        <f t="shared" si="7"/>
        <v>0</v>
      </c>
      <c r="AA17" s="250">
        <f t="shared" si="7"/>
        <v>0</v>
      </c>
      <c r="AB17" s="250">
        <f t="shared" si="7"/>
        <v>0</v>
      </c>
      <c r="AC17" s="250">
        <f t="shared" si="7"/>
        <v>0</v>
      </c>
      <c r="AD17" s="250">
        <f t="shared" si="7"/>
        <v>0</v>
      </c>
      <c r="AE17" s="250">
        <f t="shared" si="7"/>
        <v>0</v>
      </c>
      <c r="AF17" s="250">
        <f t="shared" si="7"/>
        <v>0</v>
      </c>
      <c r="AG17" s="250">
        <f t="shared" si="7"/>
        <v>0</v>
      </c>
      <c r="AH17" s="250">
        <f t="shared" si="7"/>
        <v>0</v>
      </c>
      <c r="AI17" s="250">
        <f t="shared" si="7"/>
        <v>-5.8070000000000022</v>
      </c>
      <c r="AJ17" s="250">
        <f t="shared" si="7"/>
        <v>-15.459000000000003</v>
      </c>
      <c r="AK17" s="250">
        <f t="shared" ref="AK17" si="8">AK13-AK9</f>
        <v>-71.326000000000022</v>
      </c>
      <c r="AL17" s="250">
        <f t="shared" si="7"/>
        <v>0</v>
      </c>
      <c r="AM17" s="288"/>
    </row>
    <row r="18" spans="2:41">
      <c r="B18" s="408"/>
      <c r="C18" s="408"/>
      <c r="D18" s="14" t="s">
        <v>15</v>
      </c>
      <c r="E18" s="15" t="s">
        <v>3</v>
      </c>
      <c r="F18" s="24">
        <f t="shared" si="0"/>
        <v>-880.73</v>
      </c>
      <c r="G18" s="249">
        <f t="shared" ref="G18:AL18" si="9">G16+G15+G17</f>
        <v>-37.712000000000003</v>
      </c>
      <c r="H18" s="249">
        <f t="shared" si="9"/>
        <v>-16.070999999999998</v>
      </c>
      <c r="I18" s="249">
        <f t="shared" si="9"/>
        <v>-70.572000000000003</v>
      </c>
      <c r="J18" s="249">
        <f t="shared" si="9"/>
        <v>-37.874000000000024</v>
      </c>
      <c r="K18" s="249">
        <f t="shared" si="9"/>
        <v>7.5249999999999773</v>
      </c>
      <c r="L18" s="249">
        <f t="shared" si="9"/>
        <v>-3.5729999999999791</v>
      </c>
      <c r="M18" s="249">
        <f t="shared" si="9"/>
        <v>1.1050000000000182</v>
      </c>
      <c r="N18" s="249">
        <f t="shared" si="9"/>
        <v>-14.201999999999998</v>
      </c>
      <c r="O18" s="249">
        <f t="shared" si="9"/>
        <v>-20.767999999999972</v>
      </c>
      <c r="P18" s="249">
        <f t="shared" si="9"/>
        <v>-12.423999999999978</v>
      </c>
      <c r="Q18" s="249">
        <f t="shared" si="9"/>
        <v>-63.776999999999987</v>
      </c>
      <c r="R18" s="249">
        <f t="shared" si="9"/>
        <v>-46.176999999999992</v>
      </c>
      <c r="S18" s="249">
        <f t="shared" si="9"/>
        <v>0</v>
      </c>
      <c r="T18" s="249">
        <f t="shared" si="9"/>
        <v>-119.723</v>
      </c>
      <c r="U18" s="249">
        <f t="shared" si="9"/>
        <v>-18.26600000000002</v>
      </c>
      <c r="V18" s="249">
        <f t="shared" si="9"/>
        <v>-13.86099999999999</v>
      </c>
      <c r="W18" s="249">
        <f t="shared" si="9"/>
        <v>-36.690999999999974</v>
      </c>
      <c r="X18" s="249">
        <f t="shared" si="9"/>
        <v>-26.831000000000017</v>
      </c>
      <c r="Y18" s="249">
        <f t="shared" si="9"/>
        <v>-6.0930000000000177</v>
      </c>
      <c r="Z18" s="249">
        <f t="shared" si="9"/>
        <v>-5.3009999999999877</v>
      </c>
      <c r="AA18" s="249">
        <f t="shared" si="9"/>
        <v>-25.038999999999987</v>
      </c>
      <c r="AB18" s="249">
        <f t="shared" si="9"/>
        <v>-73.149000000000001</v>
      </c>
      <c r="AC18" s="249">
        <f t="shared" si="9"/>
        <v>-19.925000000000011</v>
      </c>
      <c r="AD18" s="249">
        <f t="shared" si="9"/>
        <v>-14.072000000000003</v>
      </c>
      <c r="AE18" s="249">
        <f>AE16+AE15+AE17</f>
        <v>-12.116999999999962</v>
      </c>
      <c r="AF18" s="249">
        <f t="shared" si="9"/>
        <v>-42.660000000000025</v>
      </c>
      <c r="AG18" s="249">
        <f t="shared" si="9"/>
        <v>-18.942999999999984</v>
      </c>
      <c r="AH18" s="249">
        <f t="shared" si="9"/>
        <v>-14.47199999999998</v>
      </c>
      <c r="AI18" s="249">
        <f t="shared" si="9"/>
        <v>-32.281999999999975</v>
      </c>
      <c r="AJ18" s="249">
        <f t="shared" si="9"/>
        <v>-15.459000000000003</v>
      </c>
      <c r="AK18" s="249">
        <f t="shared" ref="AK18" si="10">AK16+AK15+AK17</f>
        <v>-71.326000000000022</v>
      </c>
      <c r="AL18" s="249">
        <f t="shared" si="9"/>
        <v>0</v>
      </c>
      <c r="AM18" s="288"/>
      <c r="AN18" s="27"/>
      <c r="AO18" s="27"/>
    </row>
    <row r="19" spans="2:41" ht="17.399999999999999" customHeight="1">
      <c r="B19" s="409" t="s">
        <v>55</v>
      </c>
      <c r="C19" s="409" t="s">
        <v>48</v>
      </c>
      <c r="D19" s="410" t="s">
        <v>49</v>
      </c>
      <c r="E19" s="13" t="s">
        <v>50</v>
      </c>
      <c r="F19" s="24">
        <f t="shared" si="0"/>
        <v>41</v>
      </c>
      <c r="G19" s="243">
        <v>1</v>
      </c>
      <c r="H19" s="242">
        <v>3</v>
      </c>
      <c r="I19" s="243"/>
      <c r="J19" s="243"/>
      <c r="K19" s="243"/>
      <c r="L19" s="243"/>
      <c r="M19" s="243"/>
      <c r="N19" s="243"/>
      <c r="O19" s="251">
        <v>1</v>
      </c>
      <c r="P19" s="251"/>
      <c r="Q19" s="251"/>
      <c r="R19" s="252">
        <v>1</v>
      </c>
      <c r="S19" s="253"/>
      <c r="T19" s="253">
        <v>5</v>
      </c>
      <c r="U19" s="251">
        <v>5</v>
      </c>
      <c r="V19" s="251">
        <v>3</v>
      </c>
      <c r="W19" s="251">
        <v>2</v>
      </c>
      <c r="X19" s="251">
        <v>4</v>
      </c>
      <c r="Y19" s="251">
        <v>4</v>
      </c>
      <c r="Z19" s="251">
        <v>3</v>
      </c>
      <c r="AA19" s="251">
        <v>1</v>
      </c>
      <c r="AB19" s="251"/>
      <c r="AC19" s="251"/>
      <c r="AD19" s="251"/>
      <c r="AE19" s="251"/>
      <c r="AF19" s="251"/>
      <c r="AG19" s="251">
        <v>1</v>
      </c>
      <c r="AH19" s="251">
        <v>2</v>
      </c>
      <c r="AI19" s="251">
        <v>5</v>
      </c>
      <c r="AJ19" s="251"/>
      <c r="AK19" s="251"/>
      <c r="AL19" s="251"/>
      <c r="AM19" s="288"/>
      <c r="AN19" s="27"/>
      <c r="AO19" s="27"/>
    </row>
    <row r="20" spans="2:41" ht="15.6" customHeight="1">
      <c r="B20" s="409"/>
      <c r="C20" s="409"/>
      <c r="D20" s="410"/>
      <c r="E20" s="19" t="s">
        <v>59</v>
      </c>
      <c r="F20" s="24">
        <f t="shared" si="0"/>
        <v>190</v>
      </c>
      <c r="G20" s="243">
        <v>8</v>
      </c>
      <c r="H20" s="254">
        <v>16</v>
      </c>
      <c r="I20" s="254"/>
      <c r="J20" s="253"/>
      <c r="K20" s="253"/>
      <c r="L20" s="253"/>
      <c r="M20" s="255"/>
      <c r="N20" s="253"/>
      <c r="O20" s="253">
        <v>5</v>
      </c>
      <c r="P20" s="253"/>
      <c r="Q20" s="251"/>
      <c r="R20" s="252">
        <v>6</v>
      </c>
      <c r="S20" s="253"/>
      <c r="T20" s="253">
        <v>15</v>
      </c>
      <c r="U20" s="253">
        <v>18</v>
      </c>
      <c r="V20" s="253">
        <v>14</v>
      </c>
      <c r="W20" s="253">
        <v>10</v>
      </c>
      <c r="X20" s="253">
        <v>17</v>
      </c>
      <c r="Y20" s="253">
        <v>6</v>
      </c>
      <c r="Z20" s="253">
        <v>5</v>
      </c>
      <c r="AA20" s="253">
        <v>5</v>
      </c>
      <c r="AB20" s="253"/>
      <c r="AC20" s="253"/>
      <c r="AD20" s="253"/>
      <c r="AE20" s="253"/>
      <c r="AF20" s="253"/>
      <c r="AG20" s="253">
        <v>19</v>
      </c>
      <c r="AH20" s="253">
        <v>14</v>
      </c>
      <c r="AI20" s="253">
        <v>32</v>
      </c>
      <c r="AJ20" s="253"/>
      <c r="AK20" s="253"/>
      <c r="AL20" s="253"/>
      <c r="AM20" s="27"/>
      <c r="AN20" s="27"/>
      <c r="AO20" s="27"/>
    </row>
    <row r="21" spans="2:41">
      <c r="B21" s="409"/>
      <c r="C21" s="409"/>
      <c r="D21" s="411" t="s">
        <v>51</v>
      </c>
      <c r="E21" s="1" t="s">
        <v>50</v>
      </c>
      <c r="F21" s="24">
        <f t="shared" si="0"/>
        <v>10</v>
      </c>
      <c r="G21" s="243"/>
      <c r="H21" s="254"/>
      <c r="I21" s="253">
        <v>2</v>
      </c>
      <c r="J21" s="253">
        <v>1</v>
      </c>
      <c r="K21" s="253"/>
      <c r="L21" s="253"/>
      <c r="M21" s="253"/>
      <c r="N21" s="253"/>
      <c r="O21" s="253"/>
      <c r="P21" s="253"/>
      <c r="Q21" s="251">
        <v>1</v>
      </c>
      <c r="R21" s="252">
        <v>1</v>
      </c>
      <c r="S21" s="253"/>
      <c r="T21" s="253"/>
      <c r="U21" s="253"/>
      <c r="V21" s="253"/>
      <c r="W21" s="253">
        <v>1</v>
      </c>
      <c r="X21" s="253">
        <v>1</v>
      </c>
      <c r="Y21" s="253"/>
      <c r="Z21" s="253"/>
      <c r="AA21" s="253"/>
      <c r="AB21" s="253">
        <v>1</v>
      </c>
      <c r="AC21" s="253"/>
      <c r="AD21" s="253"/>
      <c r="AE21" s="253"/>
      <c r="AF21" s="253">
        <v>1</v>
      </c>
      <c r="AG21" s="253"/>
      <c r="AH21" s="253"/>
      <c r="AI21" s="253"/>
      <c r="AJ21" s="253"/>
      <c r="AK21" s="253">
        <v>1</v>
      </c>
      <c r="AL21" s="253"/>
    </row>
    <row r="22" spans="2:41" ht="15">
      <c r="B22" s="409"/>
      <c r="C22" s="409"/>
      <c r="D22" s="411"/>
      <c r="E22" s="19" t="s">
        <v>59</v>
      </c>
      <c r="F22" s="24">
        <f t="shared" si="0"/>
        <v>323</v>
      </c>
      <c r="G22" s="243"/>
      <c r="H22" s="242"/>
      <c r="I22" s="394">
        <v>50</v>
      </c>
      <c r="J22" s="253">
        <v>20</v>
      </c>
      <c r="K22" s="243"/>
      <c r="L22" s="243"/>
      <c r="M22" s="256"/>
      <c r="N22" s="256"/>
      <c r="O22" s="257"/>
      <c r="P22" s="257"/>
      <c r="Q22" s="257">
        <v>54</v>
      </c>
      <c r="R22" s="252">
        <v>10</v>
      </c>
      <c r="S22" s="253"/>
      <c r="T22" s="253"/>
      <c r="U22" s="252"/>
      <c r="V22" s="243"/>
      <c r="W22" s="243">
        <v>10</v>
      </c>
      <c r="X22" s="243">
        <v>10</v>
      </c>
      <c r="Y22" s="243"/>
      <c r="Z22" s="243"/>
      <c r="AA22" s="257"/>
      <c r="AB22" s="257">
        <v>55</v>
      </c>
      <c r="AC22" s="257"/>
      <c r="AD22" s="257"/>
      <c r="AE22" s="257"/>
      <c r="AF22" s="257">
        <v>43</v>
      </c>
      <c r="AG22" s="257"/>
      <c r="AH22" s="257"/>
      <c r="AI22" s="257"/>
      <c r="AJ22" s="257"/>
      <c r="AK22" s="257">
        <v>71</v>
      </c>
      <c r="AL22" s="257"/>
    </row>
    <row r="23" spans="2:41">
      <c r="B23" s="409"/>
      <c r="C23" s="401" t="s">
        <v>52</v>
      </c>
      <c r="D23" s="412" t="s">
        <v>67</v>
      </c>
      <c r="E23" s="1" t="s">
        <v>50</v>
      </c>
      <c r="F23" s="24">
        <f t="shared" si="0"/>
        <v>2</v>
      </c>
      <c r="G23" s="243">
        <v>1</v>
      </c>
      <c r="H23" s="258"/>
      <c r="I23" s="259"/>
      <c r="J23" s="253"/>
      <c r="K23" s="259"/>
      <c r="L23" s="259"/>
      <c r="M23" s="259"/>
      <c r="N23" s="259"/>
      <c r="O23" s="259"/>
      <c r="P23" s="259"/>
      <c r="Q23" s="259"/>
      <c r="R23" s="259"/>
      <c r="S23" s="259"/>
      <c r="T23" s="253">
        <v>1</v>
      </c>
      <c r="U23" s="253"/>
      <c r="V23" s="253"/>
      <c r="W23" s="253"/>
      <c r="X23" s="253"/>
      <c r="Y23" s="253"/>
      <c r="Z23" s="253"/>
      <c r="AA23" s="259"/>
      <c r="AB23" s="259"/>
      <c r="AC23" s="259"/>
      <c r="AD23" s="259"/>
      <c r="AE23" s="259"/>
      <c r="AF23" s="259"/>
      <c r="AG23" s="259"/>
      <c r="AH23" s="259"/>
      <c r="AI23" s="259"/>
      <c r="AJ23" s="281"/>
      <c r="AK23" s="281"/>
      <c r="AL23" s="259"/>
    </row>
    <row r="24" spans="2:41">
      <c r="B24" s="409"/>
      <c r="C24" s="401"/>
      <c r="D24" s="412"/>
      <c r="E24" s="19" t="s">
        <v>59</v>
      </c>
      <c r="F24" s="24">
        <f t="shared" si="0"/>
        <v>100</v>
      </c>
      <c r="G24" s="243">
        <v>20</v>
      </c>
      <c r="H24" s="260"/>
      <c r="I24" s="253"/>
      <c r="J24" s="253"/>
      <c r="K24" s="243"/>
      <c r="L24" s="243"/>
      <c r="M24" s="257"/>
      <c r="N24" s="257"/>
      <c r="O24" s="257"/>
      <c r="P24" s="257"/>
      <c r="Q24" s="257"/>
      <c r="R24" s="257"/>
      <c r="S24" s="257"/>
      <c r="T24" s="253">
        <v>80</v>
      </c>
      <c r="U24" s="243"/>
      <c r="V24" s="261"/>
      <c r="W24" s="243"/>
      <c r="X24" s="243"/>
      <c r="Y24" s="243"/>
      <c r="Z24" s="243"/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</row>
    <row r="25" spans="2:41">
      <c r="B25" s="409"/>
      <c r="C25" s="413" t="s">
        <v>54</v>
      </c>
      <c r="D25" s="414" t="s">
        <v>53</v>
      </c>
      <c r="E25" s="1" t="s">
        <v>50</v>
      </c>
      <c r="F25" s="24">
        <f t="shared" si="0"/>
        <v>15</v>
      </c>
      <c r="G25" s="243">
        <v>1</v>
      </c>
      <c r="H25" s="392"/>
      <c r="I25" s="399">
        <v>1</v>
      </c>
      <c r="J25" s="399">
        <v>1</v>
      </c>
      <c r="K25" s="399"/>
      <c r="L25" s="399"/>
      <c r="M25" s="399"/>
      <c r="N25" s="399">
        <v>1</v>
      </c>
      <c r="O25" s="399">
        <v>1</v>
      </c>
      <c r="P25" s="399">
        <v>1</v>
      </c>
      <c r="Q25" s="399">
        <v>1</v>
      </c>
      <c r="R25" s="399">
        <v>1</v>
      </c>
      <c r="S25" s="399"/>
      <c r="T25" s="399">
        <v>1</v>
      </c>
      <c r="U25" s="399"/>
      <c r="V25" s="399"/>
      <c r="W25" s="399">
        <v>1</v>
      </c>
      <c r="X25" s="399"/>
      <c r="Y25" s="399"/>
      <c r="Z25" s="399"/>
      <c r="AA25" s="399">
        <v>1</v>
      </c>
      <c r="AB25" s="257">
        <v>1</v>
      </c>
      <c r="AC25" s="257">
        <v>1</v>
      </c>
      <c r="AD25" s="399">
        <v>1</v>
      </c>
      <c r="AE25" s="399">
        <v>1</v>
      </c>
      <c r="AF25" s="399"/>
      <c r="AG25" s="262"/>
      <c r="AH25" s="262"/>
      <c r="AI25" s="262"/>
      <c r="AJ25" s="262"/>
      <c r="AK25" s="262"/>
      <c r="AL25" s="262"/>
    </row>
    <row r="26" spans="2:41">
      <c r="B26" s="409"/>
      <c r="C26" s="413"/>
      <c r="D26" s="414"/>
      <c r="E26" s="19" t="s">
        <v>59</v>
      </c>
      <c r="F26" s="24">
        <f t="shared" si="0"/>
        <v>257</v>
      </c>
      <c r="G26" s="243">
        <v>10</v>
      </c>
      <c r="H26" s="393"/>
      <c r="I26" s="252">
        <v>21</v>
      </c>
      <c r="J26" s="252">
        <v>18</v>
      </c>
      <c r="K26" s="257"/>
      <c r="L26" s="257"/>
      <c r="M26" s="257"/>
      <c r="N26" s="257">
        <v>14</v>
      </c>
      <c r="O26" s="257">
        <v>16</v>
      </c>
      <c r="P26" s="257">
        <v>12</v>
      </c>
      <c r="Q26" s="257">
        <v>10</v>
      </c>
      <c r="R26" s="257">
        <v>30</v>
      </c>
      <c r="S26" s="257"/>
      <c r="T26" s="257">
        <v>25</v>
      </c>
      <c r="U26" s="257"/>
      <c r="V26" s="257"/>
      <c r="W26" s="257">
        <v>17</v>
      </c>
      <c r="X26" s="257"/>
      <c r="Y26" s="257"/>
      <c r="Z26" s="257"/>
      <c r="AA26" s="257">
        <v>20</v>
      </c>
      <c r="AB26" s="399">
        <f>73-55</f>
        <v>18</v>
      </c>
      <c r="AC26" s="399">
        <v>20</v>
      </c>
      <c r="AD26" s="257">
        <v>14</v>
      </c>
      <c r="AE26" s="257">
        <v>12</v>
      </c>
      <c r="AF26" s="257"/>
      <c r="AG26" s="257"/>
      <c r="AH26" s="257"/>
      <c r="AI26" s="257"/>
      <c r="AJ26" s="257"/>
      <c r="AK26" s="257"/>
      <c r="AL26" s="257"/>
    </row>
    <row r="27" spans="2:41">
      <c r="B27" s="409"/>
      <c r="C27" s="401" t="s">
        <v>57</v>
      </c>
      <c r="D27" s="402" t="s">
        <v>56</v>
      </c>
      <c r="E27" s="1" t="s">
        <v>50</v>
      </c>
      <c r="F27" s="24">
        <f t="shared" si="0"/>
        <v>0</v>
      </c>
      <c r="G27" s="243"/>
      <c r="H27" s="392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  <c r="AA27" s="399"/>
      <c r="AB27" s="399"/>
      <c r="AC27" s="399"/>
      <c r="AD27" s="399"/>
      <c r="AE27" s="399"/>
      <c r="AF27" s="399"/>
      <c r="AG27" s="262"/>
      <c r="AH27" s="262"/>
      <c r="AI27" s="262"/>
      <c r="AJ27" s="262"/>
      <c r="AK27" s="262"/>
      <c r="AL27" s="262"/>
    </row>
    <row r="28" spans="2:41">
      <c r="B28" s="409"/>
      <c r="C28" s="401"/>
      <c r="D28" s="402"/>
      <c r="E28" s="19" t="s">
        <v>59</v>
      </c>
      <c r="F28" s="24">
        <f t="shared" si="0"/>
        <v>0</v>
      </c>
      <c r="G28" s="243"/>
      <c r="H28" s="260"/>
      <c r="I28" s="253"/>
      <c r="J28" s="253"/>
      <c r="K28" s="243"/>
      <c r="L28" s="243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</row>
    <row r="29" spans="2:41">
      <c r="B29" s="409"/>
      <c r="C29" s="403" t="s">
        <v>58</v>
      </c>
      <c r="D29" s="404"/>
      <c r="E29" s="23" t="s">
        <v>50</v>
      </c>
      <c r="F29" s="24">
        <f t="shared" si="0"/>
        <v>68</v>
      </c>
      <c r="G29" s="263">
        <f t="shared" ref="G29:Z29" si="11">G19+G21+G23+G25+G27</f>
        <v>3</v>
      </c>
      <c r="H29" s="263">
        <f t="shared" si="11"/>
        <v>3</v>
      </c>
      <c r="I29" s="263">
        <f t="shared" si="11"/>
        <v>3</v>
      </c>
      <c r="J29" s="263">
        <f t="shared" si="11"/>
        <v>2</v>
      </c>
      <c r="K29" s="263">
        <f t="shared" si="11"/>
        <v>0</v>
      </c>
      <c r="L29" s="263">
        <f t="shared" si="11"/>
        <v>0</v>
      </c>
      <c r="M29" s="263">
        <f t="shared" si="11"/>
        <v>0</v>
      </c>
      <c r="N29" s="263">
        <f t="shared" si="11"/>
        <v>1</v>
      </c>
      <c r="O29" s="263">
        <f t="shared" si="11"/>
        <v>2</v>
      </c>
      <c r="P29" s="263">
        <f t="shared" si="11"/>
        <v>1</v>
      </c>
      <c r="Q29" s="263">
        <f t="shared" si="11"/>
        <v>2</v>
      </c>
      <c r="R29" s="263">
        <f t="shared" si="11"/>
        <v>3</v>
      </c>
      <c r="S29" s="263">
        <f t="shared" si="11"/>
        <v>0</v>
      </c>
      <c r="T29" s="263">
        <f t="shared" si="11"/>
        <v>7</v>
      </c>
      <c r="U29" s="263">
        <f t="shared" si="11"/>
        <v>5</v>
      </c>
      <c r="V29" s="263">
        <f t="shared" si="11"/>
        <v>3</v>
      </c>
      <c r="W29" s="263">
        <f t="shared" si="11"/>
        <v>4</v>
      </c>
      <c r="X29" s="263">
        <f t="shared" si="11"/>
        <v>5</v>
      </c>
      <c r="Y29" s="263">
        <f t="shared" si="11"/>
        <v>4</v>
      </c>
      <c r="Z29" s="263">
        <f t="shared" si="11"/>
        <v>3</v>
      </c>
      <c r="AA29" s="263">
        <f t="shared" ref="AA29:AL29" si="12">AA19+AA21+AA23+AA25+AA27</f>
        <v>2</v>
      </c>
      <c r="AB29" s="263">
        <f t="shared" si="12"/>
        <v>2</v>
      </c>
      <c r="AC29" s="263">
        <f t="shared" si="12"/>
        <v>1</v>
      </c>
      <c r="AD29" s="263">
        <f t="shared" si="12"/>
        <v>1</v>
      </c>
      <c r="AE29" s="263">
        <f t="shared" si="12"/>
        <v>1</v>
      </c>
      <c r="AF29" s="263">
        <f t="shared" si="12"/>
        <v>1</v>
      </c>
      <c r="AG29" s="263">
        <f t="shared" si="12"/>
        <v>1</v>
      </c>
      <c r="AH29" s="263">
        <f t="shared" si="12"/>
        <v>2</v>
      </c>
      <c r="AI29" s="263">
        <f t="shared" si="12"/>
        <v>5</v>
      </c>
      <c r="AJ29" s="263">
        <f t="shared" si="12"/>
        <v>0</v>
      </c>
      <c r="AK29" s="263">
        <f t="shared" ref="AK29" si="13">AK19+AK21+AK23+AK25+AK27</f>
        <v>1</v>
      </c>
      <c r="AL29" s="263">
        <f t="shared" si="12"/>
        <v>0</v>
      </c>
      <c r="AN29" s="27">
        <f>SUM(AB10:AH10)</f>
        <v>3410</v>
      </c>
    </row>
    <row r="30" spans="2:41">
      <c r="B30" s="409"/>
      <c r="C30" s="403"/>
      <c r="D30" s="404"/>
      <c r="E30" s="25" t="s">
        <v>59</v>
      </c>
      <c r="F30" s="24">
        <f t="shared" si="0"/>
        <v>870</v>
      </c>
      <c r="G30" s="263">
        <f t="shared" ref="G30:Q30" si="14">G20+G22+G24+G26+G28</f>
        <v>38</v>
      </c>
      <c r="H30" s="263">
        <f t="shared" si="14"/>
        <v>16</v>
      </c>
      <c r="I30" s="263">
        <f t="shared" si="14"/>
        <v>71</v>
      </c>
      <c r="J30" s="263">
        <f t="shared" si="14"/>
        <v>38</v>
      </c>
      <c r="K30" s="263">
        <f t="shared" si="14"/>
        <v>0</v>
      </c>
      <c r="L30" s="263">
        <f t="shared" si="14"/>
        <v>0</v>
      </c>
      <c r="M30" s="263">
        <f t="shared" si="14"/>
        <v>0</v>
      </c>
      <c r="N30" s="263">
        <f t="shared" si="14"/>
        <v>14</v>
      </c>
      <c r="O30" s="263">
        <f t="shared" si="14"/>
        <v>21</v>
      </c>
      <c r="P30" s="263">
        <f t="shared" si="14"/>
        <v>12</v>
      </c>
      <c r="Q30" s="263">
        <f t="shared" si="14"/>
        <v>64</v>
      </c>
      <c r="R30" s="263">
        <f t="shared" ref="R30:Z30" si="15">R20+R22+R24+R26+R28</f>
        <v>46</v>
      </c>
      <c r="S30" s="263">
        <f t="shared" si="15"/>
        <v>0</v>
      </c>
      <c r="T30" s="263">
        <f t="shared" si="15"/>
        <v>120</v>
      </c>
      <c r="U30" s="263">
        <f t="shared" si="15"/>
        <v>18</v>
      </c>
      <c r="V30" s="263">
        <f t="shared" si="15"/>
        <v>14</v>
      </c>
      <c r="W30" s="263">
        <f t="shared" si="15"/>
        <v>37</v>
      </c>
      <c r="X30" s="263">
        <f t="shared" si="15"/>
        <v>27</v>
      </c>
      <c r="Y30" s="263">
        <f t="shared" si="15"/>
        <v>6</v>
      </c>
      <c r="Z30" s="263">
        <f t="shared" si="15"/>
        <v>5</v>
      </c>
      <c r="AA30" s="263">
        <f t="shared" ref="AA30:AL30" si="16">AA20+AA22+AA24+AA26+AA28</f>
        <v>25</v>
      </c>
      <c r="AB30" s="263">
        <f t="shared" si="16"/>
        <v>73</v>
      </c>
      <c r="AC30" s="263">
        <f t="shared" si="16"/>
        <v>20</v>
      </c>
      <c r="AD30" s="263">
        <f t="shared" si="16"/>
        <v>14</v>
      </c>
      <c r="AE30" s="263">
        <f t="shared" si="16"/>
        <v>12</v>
      </c>
      <c r="AF30" s="263">
        <f t="shared" si="16"/>
        <v>43</v>
      </c>
      <c r="AG30" s="263">
        <f t="shared" si="16"/>
        <v>19</v>
      </c>
      <c r="AH30" s="263">
        <f t="shared" si="16"/>
        <v>14</v>
      </c>
      <c r="AI30" s="263">
        <f t="shared" si="16"/>
        <v>32</v>
      </c>
      <c r="AJ30" s="263">
        <f t="shared" si="16"/>
        <v>0</v>
      </c>
      <c r="AK30" s="263">
        <f t="shared" ref="AK30" si="17">AK20+AK22+AK24+AK26+AK28</f>
        <v>71</v>
      </c>
      <c r="AL30" s="263">
        <f t="shared" si="16"/>
        <v>0</v>
      </c>
      <c r="AN30" s="27">
        <f>SUM(AB14:AH14)</f>
        <v>3214.6620000000003</v>
      </c>
    </row>
    <row r="31" spans="2:41">
      <c r="AN31" s="27"/>
    </row>
    <row r="32" spans="2:41">
      <c r="H32" s="27"/>
      <c r="I32" s="27"/>
      <c r="J32" s="27"/>
      <c r="K32" s="27"/>
      <c r="Q32" s="27"/>
      <c r="R32" s="27"/>
      <c r="AN32" s="27"/>
    </row>
    <row r="33" spans="7:29"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7:29"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7:29">
      <c r="H35" s="27"/>
      <c r="I35" s="27"/>
      <c r="J35" s="27"/>
      <c r="K35" s="27"/>
    </row>
    <row r="36" spans="7:29">
      <c r="H36" s="27"/>
      <c r="I36" s="27"/>
      <c r="J36" s="27"/>
      <c r="K36" s="27"/>
      <c r="L36" s="27"/>
      <c r="O36" s="27"/>
      <c r="R36" s="27"/>
    </row>
    <row r="37" spans="7:29">
      <c r="H37" s="27"/>
      <c r="I37" s="27"/>
      <c r="J37" s="27"/>
      <c r="K37" s="27"/>
      <c r="L37" s="27"/>
      <c r="O37" s="27"/>
      <c r="R37" s="27"/>
    </row>
    <row r="38" spans="7:29">
      <c r="H38" s="27"/>
      <c r="I38" s="27"/>
      <c r="K38" s="27"/>
      <c r="L38" s="27"/>
      <c r="O38" s="27"/>
      <c r="R38" s="27"/>
    </row>
  </sheetData>
  <mergeCells count="20">
    <mergeCell ref="D23:D24"/>
    <mergeCell ref="C25:C26"/>
    <mergeCell ref="D25:D26"/>
    <mergeCell ref="G2:AL2"/>
    <mergeCell ref="C27:C28"/>
    <mergeCell ref="D27:D28"/>
    <mergeCell ref="C29:C30"/>
    <mergeCell ref="D29:D30"/>
    <mergeCell ref="B4:C5"/>
    <mergeCell ref="B7:B10"/>
    <mergeCell ref="C7:C10"/>
    <mergeCell ref="B11:B14"/>
    <mergeCell ref="C11:C14"/>
    <mergeCell ref="B15:B18"/>
    <mergeCell ref="C15:C18"/>
    <mergeCell ref="B19:B30"/>
    <mergeCell ref="C19:C22"/>
    <mergeCell ref="D19:D20"/>
    <mergeCell ref="D21:D22"/>
    <mergeCell ref="C23:C24"/>
  </mergeCells>
  <pageMargins left="0.31496062992125984" right="0.31496062992125984" top="0.74803149606299213" bottom="0.15748031496062992" header="0.31496062992125984" footer="0.31496062992125984"/>
  <pageSetup paperSize="9" scale="76" orientation="landscape" verticalDpi="300" r:id="rId1"/>
  <colBreaks count="1" manualBreakCount="1">
    <brk id="3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999FF"/>
  </sheetPr>
  <dimension ref="B2:BZ31"/>
  <sheetViews>
    <sheetView tabSelected="1" zoomScale="90" zoomScaleNormal="90" workbookViewId="0">
      <pane ySplit="3" topLeftCell="A7" activePane="bottomLeft" state="frozen"/>
      <selection pane="bottomLeft" activeCell="BV22" sqref="BV22"/>
    </sheetView>
  </sheetViews>
  <sheetFormatPr defaultColWidth="8.88671875" defaultRowHeight="13.8"/>
  <cols>
    <col min="1" max="1" width="0.33203125" style="278" customWidth="1"/>
    <col min="2" max="2" width="10.6640625" style="278" customWidth="1"/>
    <col min="3" max="3" width="13" style="278" customWidth="1"/>
    <col min="4" max="4" width="25" style="278" customWidth="1"/>
    <col min="5" max="5" width="8.88671875" style="278"/>
    <col min="6" max="11" width="11.6640625" style="278" customWidth="1"/>
    <col min="12" max="13" width="8.88671875" style="278" hidden="1" customWidth="1"/>
    <col min="14" max="14" width="11.5546875" style="278" hidden="1" customWidth="1"/>
    <col min="15" max="15" width="10.33203125" style="278" hidden="1" customWidth="1"/>
    <col min="16" max="16" width="8.88671875" style="278" hidden="1" customWidth="1"/>
    <col min="17" max="19" width="10.6640625" style="278" hidden="1" customWidth="1"/>
    <col min="20" max="20" width="9.6640625" style="278" hidden="1" customWidth="1"/>
    <col min="21" max="21" width="8.88671875" style="278" hidden="1" customWidth="1"/>
    <col min="22" max="22" width="10.33203125" style="278" hidden="1" customWidth="1"/>
    <col min="23" max="31" width="8.88671875" style="278" hidden="1" customWidth="1"/>
    <col min="32" max="32" width="9.6640625" style="278" hidden="1" customWidth="1"/>
    <col min="33" max="42" width="8.88671875" style="278" hidden="1" customWidth="1"/>
    <col min="43" max="45" width="10.77734375" style="278" hidden="1" customWidth="1"/>
    <col min="46" max="46" width="12.109375" style="278" hidden="1" customWidth="1"/>
    <col min="47" max="67" width="10.77734375" style="278" hidden="1" customWidth="1"/>
    <col min="68" max="72" width="10.77734375" style="278" customWidth="1"/>
    <col min="73" max="74" width="8.88671875" style="278"/>
    <col min="75" max="75" width="15.33203125" style="278" customWidth="1"/>
    <col min="76" max="76" width="17.88671875" style="278" customWidth="1"/>
    <col min="77" max="77" width="22.21875" style="278" customWidth="1"/>
    <col min="78" max="16384" width="8.88671875" style="278"/>
  </cols>
  <sheetData>
    <row r="2" spans="2:78" s="329" customFormat="1" ht="30.6">
      <c r="B2" s="424" t="s">
        <v>134</v>
      </c>
      <c r="C2" s="424"/>
      <c r="D2" s="424"/>
      <c r="E2" s="424"/>
      <c r="F2" s="419">
        <v>2021</v>
      </c>
      <c r="G2" s="419">
        <v>2022</v>
      </c>
      <c r="H2" s="419">
        <v>2023</v>
      </c>
      <c r="I2" s="419">
        <v>2024</v>
      </c>
      <c r="J2" s="419">
        <v>2025</v>
      </c>
      <c r="K2" s="419">
        <v>2026</v>
      </c>
      <c r="L2" s="418">
        <v>2021</v>
      </c>
      <c r="M2" s="418"/>
      <c r="N2" s="418"/>
      <c r="O2" s="418"/>
      <c r="P2" s="418"/>
      <c r="Q2" s="418"/>
      <c r="R2" s="418"/>
      <c r="S2" s="418"/>
      <c r="T2" s="418">
        <v>2022</v>
      </c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>
        <v>2023</v>
      </c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>
        <v>2024</v>
      </c>
      <c r="AS2" s="418"/>
      <c r="AT2" s="418"/>
      <c r="AU2" s="418"/>
      <c r="AV2" s="418"/>
      <c r="AW2" s="418"/>
      <c r="AX2" s="418"/>
      <c r="AY2" s="418"/>
      <c r="AZ2" s="418"/>
      <c r="BA2" s="418"/>
      <c r="BB2" s="418"/>
      <c r="BC2" s="418"/>
      <c r="BD2" s="328"/>
      <c r="BE2" s="328"/>
      <c r="BF2" s="328"/>
      <c r="BG2" s="328"/>
      <c r="BH2" s="328"/>
      <c r="BI2" s="328"/>
      <c r="BJ2" s="421">
        <v>2025</v>
      </c>
      <c r="BK2" s="417"/>
      <c r="BL2" s="417"/>
      <c r="BM2" s="417"/>
      <c r="BN2" s="417"/>
      <c r="BO2" s="417"/>
      <c r="BP2" s="417">
        <v>2026</v>
      </c>
      <c r="BQ2" s="417"/>
      <c r="BR2" s="417"/>
      <c r="BS2" s="417"/>
      <c r="BT2" s="417"/>
      <c r="BU2" s="417"/>
      <c r="BV2" s="387"/>
      <c r="BW2" s="387"/>
      <c r="BX2" s="387"/>
      <c r="BY2" s="387"/>
    </row>
    <row r="3" spans="2:78" ht="31.2" customHeight="1">
      <c r="B3" s="424"/>
      <c r="C3" s="424"/>
      <c r="D3" s="424"/>
      <c r="E3" s="424"/>
      <c r="F3" s="420"/>
      <c r="G3" s="420"/>
      <c r="H3" s="420"/>
      <c r="I3" s="420"/>
      <c r="J3" s="420"/>
      <c r="K3" s="420"/>
      <c r="L3" s="379" t="s">
        <v>37</v>
      </c>
      <c r="M3" s="379" t="s">
        <v>38</v>
      </c>
      <c r="N3" s="379" t="s">
        <v>39</v>
      </c>
      <c r="O3" s="379" t="s">
        <v>0</v>
      </c>
      <c r="P3" s="379" t="s">
        <v>40</v>
      </c>
      <c r="Q3" s="379" t="s">
        <v>41</v>
      </c>
      <c r="R3" s="379" t="s">
        <v>42</v>
      </c>
      <c r="S3" s="379" t="s">
        <v>43</v>
      </c>
      <c r="T3" s="379" t="s">
        <v>44</v>
      </c>
      <c r="U3" s="379" t="s">
        <v>45</v>
      </c>
      <c r="V3" s="379" t="s">
        <v>46</v>
      </c>
      <c r="W3" s="379" t="s">
        <v>47</v>
      </c>
      <c r="X3" s="379" t="s">
        <v>37</v>
      </c>
      <c r="Y3" s="379" t="s">
        <v>38</v>
      </c>
      <c r="Z3" s="379" t="s">
        <v>39</v>
      </c>
      <c r="AA3" s="379" t="s">
        <v>0</v>
      </c>
      <c r="AB3" s="379" t="s">
        <v>40</v>
      </c>
      <c r="AC3" s="379" t="s">
        <v>41</v>
      </c>
      <c r="AD3" s="379" t="s">
        <v>42</v>
      </c>
      <c r="AE3" s="379" t="s">
        <v>43</v>
      </c>
      <c r="AF3" s="379" t="s">
        <v>44</v>
      </c>
      <c r="AG3" s="379" t="s">
        <v>45</v>
      </c>
      <c r="AH3" s="379" t="s">
        <v>46</v>
      </c>
      <c r="AI3" s="379" t="s">
        <v>47</v>
      </c>
      <c r="AJ3" s="379" t="s">
        <v>37</v>
      </c>
      <c r="AK3" s="379" t="s">
        <v>38</v>
      </c>
      <c r="AL3" s="379" t="s">
        <v>39</v>
      </c>
      <c r="AM3" s="379" t="s">
        <v>0</v>
      </c>
      <c r="AN3" s="379" t="s">
        <v>40</v>
      </c>
      <c r="AO3" s="379" t="s">
        <v>41</v>
      </c>
      <c r="AP3" s="379" t="s">
        <v>42</v>
      </c>
      <c r="AQ3" s="379" t="s">
        <v>43</v>
      </c>
      <c r="AR3" s="379" t="s">
        <v>44</v>
      </c>
      <c r="AS3" s="379" t="s">
        <v>45</v>
      </c>
      <c r="AT3" s="379" t="s">
        <v>46</v>
      </c>
      <c r="AU3" s="379" t="s">
        <v>47</v>
      </c>
      <c r="AV3" s="379" t="s">
        <v>37</v>
      </c>
      <c r="AW3" s="379" t="s">
        <v>38</v>
      </c>
      <c r="AX3" s="379" t="s">
        <v>39</v>
      </c>
      <c r="AY3" s="380" t="s">
        <v>0</v>
      </c>
      <c r="AZ3" s="380" t="s">
        <v>40</v>
      </c>
      <c r="BA3" s="380" t="s">
        <v>41</v>
      </c>
      <c r="BB3" s="380" t="s">
        <v>42</v>
      </c>
      <c r="BC3" s="380" t="s">
        <v>43</v>
      </c>
      <c r="BD3" s="380" t="s">
        <v>44</v>
      </c>
      <c r="BE3" s="380" t="s">
        <v>45</v>
      </c>
      <c r="BF3" s="380" t="s">
        <v>46</v>
      </c>
      <c r="BG3" s="380" t="s">
        <v>47</v>
      </c>
      <c r="BH3" s="380" t="s">
        <v>37</v>
      </c>
      <c r="BI3" s="380" t="s">
        <v>38</v>
      </c>
      <c r="BJ3" s="380" t="s">
        <v>39</v>
      </c>
      <c r="BK3" s="380" t="s">
        <v>0</v>
      </c>
      <c r="BL3" s="380" t="s">
        <v>40</v>
      </c>
      <c r="BM3" s="380" t="s">
        <v>41</v>
      </c>
      <c r="BN3" s="380" t="s">
        <v>42</v>
      </c>
      <c r="BO3" s="380" t="s">
        <v>43</v>
      </c>
      <c r="BP3" s="380" t="s">
        <v>44</v>
      </c>
      <c r="BQ3" s="380" t="s">
        <v>45</v>
      </c>
      <c r="BR3" s="380" t="s">
        <v>46</v>
      </c>
      <c r="BS3" s="380" t="s">
        <v>47</v>
      </c>
      <c r="BT3" s="379" t="s">
        <v>37</v>
      </c>
    </row>
    <row r="4" spans="2:78" ht="15.6" hidden="1">
      <c r="B4" s="433" t="s">
        <v>31</v>
      </c>
      <c r="C4" s="434"/>
      <c r="D4" s="330" t="s">
        <v>29</v>
      </c>
      <c r="E4" s="331" t="s">
        <v>1</v>
      </c>
      <c r="F4" s="332">
        <f>+SUM(L4:S4)</f>
        <v>225</v>
      </c>
      <c r="G4" s="332">
        <f>+SUM(T4:AE4)</f>
        <v>342</v>
      </c>
      <c r="H4" s="332">
        <f>+SUM(AF4:AQ4)</f>
        <v>356</v>
      </c>
      <c r="I4" s="332">
        <f>+SUM(AR4:BC4)</f>
        <v>326</v>
      </c>
      <c r="J4" s="332">
        <f>+SUM(BD4:BT4)</f>
        <v>492</v>
      </c>
      <c r="K4" s="382"/>
      <c r="L4" s="333">
        <v>21</v>
      </c>
      <c r="M4" s="334">
        <v>28</v>
      </c>
      <c r="N4" s="334">
        <v>31</v>
      </c>
      <c r="O4" s="334">
        <v>29</v>
      </c>
      <c r="P4" s="334">
        <v>28</v>
      </c>
      <c r="Q4" s="334">
        <v>30</v>
      </c>
      <c r="R4" s="334">
        <v>29</v>
      </c>
      <c r="S4" s="334">
        <v>29</v>
      </c>
      <c r="T4" s="335">
        <v>28</v>
      </c>
      <c r="U4" s="335">
        <v>23</v>
      </c>
      <c r="V4" s="335">
        <v>30</v>
      </c>
      <c r="W4" s="335">
        <v>30</v>
      </c>
      <c r="X4" s="336">
        <v>31</v>
      </c>
      <c r="Y4" s="336">
        <v>28</v>
      </c>
      <c r="Z4" s="336">
        <v>31</v>
      </c>
      <c r="AA4" s="336">
        <v>29</v>
      </c>
      <c r="AB4" s="336">
        <v>25</v>
      </c>
      <c r="AC4" s="336">
        <v>29</v>
      </c>
      <c r="AD4" s="337">
        <v>30</v>
      </c>
      <c r="AE4" s="337">
        <v>28</v>
      </c>
      <c r="AF4" s="338">
        <v>25</v>
      </c>
      <c r="AG4" s="338">
        <v>28</v>
      </c>
      <c r="AH4" s="338">
        <v>31</v>
      </c>
      <c r="AI4" s="338">
        <v>27</v>
      </c>
      <c r="AJ4" s="338">
        <v>31</v>
      </c>
      <c r="AK4" s="338">
        <v>30</v>
      </c>
      <c r="AL4" s="338">
        <v>31</v>
      </c>
      <c r="AM4" s="338">
        <v>31</v>
      </c>
      <c r="AN4" s="338">
        <v>30</v>
      </c>
      <c r="AO4" s="338">
        <v>31</v>
      </c>
      <c r="AP4" s="338">
        <v>30</v>
      </c>
      <c r="AQ4" s="338">
        <v>31</v>
      </c>
      <c r="AR4" s="338">
        <v>28</v>
      </c>
      <c r="AS4" s="338">
        <v>25</v>
      </c>
      <c r="AT4" s="338">
        <v>30</v>
      </c>
      <c r="AU4" s="338">
        <v>23</v>
      </c>
      <c r="AV4" s="338">
        <v>28</v>
      </c>
      <c r="AW4" s="338">
        <v>26</v>
      </c>
      <c r="AX4" s="339">
        <v>30</v>
      </c>
      <c r="AY4" s="339">
        <v>25</v>
      </c>
      <c r="AZ4" s="339">
        <v>26</v>
      </c>
      <c r="BA4" s="339">
        <v>29</v>
      </c>
      <c r="BB4" s="339">
        <v>26</v>
      </c>
      <c r="BC4" s="339">
        <v>30</v>
      </c>
      <c r="BD4" s="339">
        <v>30</v>
      </c>
      <c r="BE4" s="339">
        <v>25</v>
      </c>
      <c r="BF4" s="339">
        <v>29</v>
      </c>
      <c r="BG4" s="339">
        <v>29</v>
      </c>
      <c r="BH4" s="339">
        <v>28</v>
      </c>
      <c r="BI4" s="339">
        <v>29</v>
      </c>
      <c r="BJ4" s="339">
        <v>30</v>
      </c>
      <c r="BK4" s="339">
        <v>28</v>
      </c>
      <c r="BL4" s="339">
        <v>28</v>
      </c>
      <c r="BM4" s="339">
        <v>31</v>
      </c>
      <c r="BN4" s="339">
        <v>28</v>
      </c>
      <c r="BO4" s="339">
        <v>31</v>
      </c>
      <c r="BP4" s="339">
        <v>30</v>
      </c>
      <c r="BQ4" s="339">
        <v>27</v>
      </c>
      <c r="BR4" s="339">
        <v>30</v>
      </c>
      <c r="BS4" s="339">
        <v>29</v>
      </c>
      <c r="BT4" s="338">
        <f>+'5.26'!F4</f>
        <v>30</v>
      </c>
    </row>
    <row r="5" spans="2:78" ht="15.6" hidden="1">
      <c r="B5" s="435"/>
      <c r="C5" s="436"/>
      <c r="D5" s="330" t="s">
        <v>30</v>
      </c>
      <c r="E5" s="331" t="s">
        <v>1</v>
      </c>
      <c r="F5" s="332">
        <f t="shared" ref="F5:F30" si="0">+SUM(L5:S5)</f>
        <v>118</v>
      </c>
      <c r="G5" s="332">
        <f t="shared" ref="G5:G30" si="1">+SUM(T5:AE5)</f>
        <v>311</v>
      </c>
      <c r="H5" s="332">
        <f>+SUM(AF5:AQ5)</f>
        <v>324</v>
      </c>
      <c r="I5" s="332">
        <f t="shared" ref="I5:I30" si="2">+SUM(AR5:BC5)</f>
        <v>318</v>
      </c>
      <c r="J5" s="332">
        <f>+SUM(BD5:BT5)</f>
        <v>487</v>
      </c>
      <c r="K5" s="382"/>
      <c r="L5" s="333">
        <v>0</v>
      </c>
      <c r="M5" s="334">
        <v>5</v>
      </c>
      <c r="N5" s="334">
        <v>8</v>
      </c>
      <c r="O5" s="334">
        <v>16</v>
      </c>
      <c r="P5" s="334">
        <v>19</v>
      </c>
      <c r="Q5" s="334">
        <v>20</v>
      </c>
      <c r="R5" s="334">
        <v>25</v>
      </c>
      <c r="S5" s="334">
        <v>25</v>
      </c>
      <c r="T5" s="335">
        <v>26</v>
      </c>
      <c r="U5" s="335">
        <v>20</v>
      </c>
      <c r="V5" s="335">
        <v>27</v>
      </c>
      <c r="W5" s="335">
        <v>24</v>
      </c>
      <c r="X5" s="336">
        <v>30</v>
      </c>
      <c r="Y5" s="336">
        <v>27</v>
      </c>
      <c r="Z5" s="336">
        <v>28</v>
      </c>
      <c r="AA5" s="336">
        <v>28</v>
      </c>
      <c r="AB5" s="336">
        <v>20</v>
      </c>
      <c r="AC5" s="336">
        <v>24</v>
      </c>
      <c r="AD5" s="337">
        <v>29</v>
      </c>
      <c r="AE5" s="337">
        <v>28</v>
      </c>
      <c r="AF5" s="338">
        <v>21</v>
      </c>
      <c r="AG5" s="338">
        <v>27</v>
      </c>
      <c r="AH5" s="338">
        <v>27</v>
      </c>
      <c r="AI5" s="338">
        <v>24</v>
      </c>
      <c r="AJ5" s="338">
        <v>29</v>
      </c>
      <c r="AK5" s="338">
        <v>26</v>
      </c>
      <c r="AL5" s="338">
        <v>28</v>
      </c>
      <c r="AM5" s="338">
        <v>28</v>
      </c>
      <c r="AN5" s="338">
        <v>28</v>
      </c>
      <c r="AO5" s="338">
        <v>28</v>
      </c>
      <c r="AP5" s="338">
        <v>28</v>
      </c>
      <c r="AQ5" s="338">
        <v>30</v>
      </c>
      <c r="AR5" s="338">
        <v>28</v>
      </c>
      <c r="AS5" s="338">
        <v>25</v>
      </c>
      <c r="AT5" s="338">
        <v>30</v>
      </c>
      <c r="AU5" s="338">
        <v>23</v>
      </c>
      <c r="AV5" s="338">
        <v>26</v>
      </c>
      <c r="AW5" s="338">
        <v>26</v>
      </c>
      <c r="AX5" s="339">
        <v>30</v>
      </c>
      <c r="AY5" s="339">
        <v>20</v>
      </c>
      <c r="AZ5" s="339">
        <v>26</v>
      </c>
      <c r="BA5" s="339">
        <v>28</v>
      </c>
      <c r="BB5" s="339">
        <v>26</v>
      </c>
      <c r="BC5" s="339">
        <v>30</v>
      </c>
      <c r="BD5" s="339">
        <v>30</v>
      </c>
      <c r="BE5" s="339">
        <v>25</v>
      </c>
      <c r="BF5" s="339">
        <v>29</v>
      </c>
      <c r="BG5" s="339">
        <v>27</v>
      </c>
      <c r="BH5" s="339">
        <v>28</v>
      </c>
      <c r="BI5" s="339">
        <v>29</v>
      </c>
      <c r="BJ5" s="339">
        <v>30</v>
      </c>
      <c r="BK5" s="339">
        <v>28</v>
      </c>
      <c r="BL5" s="339">
        <v>28</v>
      </c>
      <c r="BM5" s="339">
        <v>31</v>
      </c>
      <c r="BN5" s="339">
        <v>28</v>
      </c>
      <c r="BO5" s="339">
        <v>29</v>
      </c>
      <c r="BP5" s="339">
        <v>30</v>
      </c>
      <c r="BQ5" s="339">
        <v>27</v>
      </c>
      <c r="BR5" s="339">
        <v>29</v>
      </c>
      <c r="BS5" s="339">
        <v>29</v>
      </c>
      <c r="BT5" s="338">
        <f>+'5.26'!F5</f>
        <v>30</v>
      </c>
    </row>
    <row r="6" spans="2:78" ht="15.6" hidden="1">
      <c r="B6" s="437"/>
      <c r="C6" s="438"/>
      <c r="D6" s="330" t="s">
        <v>105</v>
      </c>
      <c r="E6" s="331" t="s">
        <v>1</v>
      </c>
      <c r="F6" s="332">
        <f t="shared" si="0"/>
        <v>0</v>
      </c>
      <c r="G6" s="332">
        <f t="shared" si="1"/>
        <v>8</v>
      </c>
      <c r="H6" s="332">
        <f t="shared" ref="H6:H13" si="3">+SUM(AF6:AQ6)</f>
        <v>36</v>
      </c>
      <c r="I6" s="332">
        <f t="shared" si="2"/>
        <v>79</v>
      </c>
      <c r="J6" s="332">
        <f>+SUM(BD6:BT6)</f>
        <v>92</v>
      </c>
      <c r="K6" s="382"/>
      <c r="L6" s="333">
        <v>0</v>
      </c>
      <c r="M6" s="334"/>
      <c r="N6" s="334"/>
      <c r="O6" s="334"/>
      <c r="P6" s="334"/>
      <c r="Q6" s="334"/>
      <c r="R6" s="334"/>
      <c r="S6" s="334"/>
      <c r="T6" s="335"/>
      <c r="U6" s="335"/>
      <c r="V6" s="335"/>
      <c r="W6" s="335"/>
      <c r="X6" s="336"/>
      <c r="Y6" s="336"/>
      <c r="Z6" s="336">
        <v>3</v>
      </c>
      <c r="AA6" s="336">
        <v>1</v>
      </c>
      <c r="AB6" s="336">
        <v>1</v>
      </c>
      <c r="AC6" s="336">
        <v>1</v>
      </c>
      <c r="AD6" s="337"/>
      <c r="AE6" s="337">
        <v>2</v>
      </c>
      <c r="AF6" s="338">
        <v>0</v>
      </c>
      <c r="AG6" s="338">
        <v>2</v>
      </c>
      <c r="AH6" s="338">
        <v>3</v>
      </c>
      <c r="AI6" s="338">
        <v>3</v>
      </c>
      <c r="AJ6" s="338">
        <v>3</v>
      </c>
      <c r="AK6" s="338">
        <v>3</v>
      </c>
      <c r="AL6" s="338">
        <v>3</v>
      </c>
      <c r="AM6" s="338">
        <v>4</v>
      </c>
      <c r="AN6" s="338">
        <v>2</v>
      </c>
      <c r="AO6" s="338">
        <v>5</v>
      </c>
      <c r="AP6" s="338">
        <v>3</v>
      </c>
      <c r="AQ6" s="338">
        <v>5</v>
      </c>
      <c r="AR6" s="338">
        <v>4</v>
      </c>
      <c r="AS6" s="338">
        <v>6</v>
      </c>
      <c r="AT6" s="338">
        <v>6</v>
      </c>
      <c r="AU6" s="338">
        <v>5</v>
      </c>
      <c r="AV6" s="338">
        <v>2</v>
      </c>
      <c r="AW6" s="338">
        <v>8</v>
      </c>
      <c r="AX6" s="339">
        <v>8</v>
      </c>
      <c r="AY6" s="339">
        <v>9</v>
      </c>
      <c r="AZ6" s="339">
        <v>9</v>
      </c>
      <c r="BA6" s="339">
        <v>7</v>
      </c>
      <c r="BB6" s="339">
        <v>7</v>
      </c>
      <c r="BC6" s="339">
        <v>8</v>
      </c>
      <c r="BD6" s="339">
        <v>9</v>
      </c>
      <c r="BE6" s="339">
        <v>9</v>
      </c>
      <c r="BF6" s="339">
        <v>8</v>
      </c>
      <c r="BG6" s="339">
        <v>5</v>
      </c>
      <c r="BH6" s="339">
        <v>6</v>
      </c>
      <c r="BI6" s="339">
        <v>6</v>
      </c>
      <c r="BJ6" s="339">
        <v>3</v>
      </c>
      <c r="BK6" s="339">
        <v>6</v>
      </c>
      <c r="BL6" s="339">
        <v>2</v>
      </c>
      <c r="BM6" s="339">
        <v>7</v>
      </c>
      <c r="BN6" s="339">
        <v>4</v>
      </c>
      <c r="BO6" s="339">
        <v>4</v>
      </c>
      <c r="BP6" s="339">
        <v>7</v>
      </c>
      <c r="BQ6" s="339">
        <v>4</v>
      </c>
      <c r="BR6" s="339">
        <v>4</v>
      </c>
      <c r="BS6" s="339">
        <v>5</v>
      </c>
      <c r="BT6" s="338">
        <f>+'5.26'!F6</f>
        <v>3</v>
      </c>
    </row>
    <row r="7" spans="2:78" ht="15.6">
      <c r="B7" s="425" t="s">
        <v>5</v>
      </c>
      <c r="C7" s="425" t="s">
        <v>6</v>
      </c>
      <c r="D7" s="340" t="s">
        <v>7</v>
      </c>
      <c r="E7" s="341" t="s">
        <v>3</v>
      </c>
      <c r="F7" s="332">
        <f t="shared" si="0"/>
        <v>40397.894431603847</v>
      </c>
      <c r="G7" s="332">
        <f t="shared" si="1"/>
        <v>37100.099848840495</v>
      </c>
      <c r="H7" s="332">
        <f t="shared" si="3"/>
        <v>26535.137865741548</v>
      </c>
      <c r="I7" s="332">
        <f t="shared" si="2"/>
        <v>12464.327843469797</v>
      </c>
      <c r="J7" s="332">
        <f t="shared" ref="J7:J14" si="4">+SUM(BD7:BO7)</f>
        <v>16779</v>
      </c>
      <c r="K7" s="332">
        <f>+SUM(BP7:BU7)</f>
        <v>5403</v>
      </c>
      <c r="L7" s="342">
        <v>5397.3271051029169</v>
      </c>
      <c r="M7" s="334">
        <v>6089.9160208510129</v>
      </c>
      <c r="N7" s="334">
        <v>6895.9187190347566</v>
      </c>
      <c r="O7" s="334">
        <v>5384.2896314115706</v>
      </c>
      <c r="P7" s="334">
        <v>4525.7989908386589</v>
      </c>
      <c r="Q7" s="334">
        <v>5291.0805589879374</v>
      </c>
      <c r="R7" s="334">
        <v>3851.0751032963558</v>
      </c>
      <c r="S7" s="334">
        <v>2962.4883020806392</v>
      </c>
      <c r="T7" s="335">
        <v>1825.5343555205754</v>
      </c>
      <c r="U7" s="335">
        <v>1984.2686350082356</v>
      </c>
      <c r="V7" s="335">
        <v>3718.9664181784215</v>
      </c>
      <c r="W7" s="335">
        <v>3791.5024907855013</v>
      </c>
      <c r="X7" s="336">
        <v>2281.3659488838466</v>
      </c>
      <c r="Y7" s="336">
        <v>2553.3608405868281</v>
      </c>
      <c r="Z7" s="336">
        <v>3839.2120050123744</v>
      </c>
      <c r="AA7" s="336">
        <v>3429.4877423905091</v>
      </c>
      <c r="AB7" s="336">
        <v>4515.5854669874989</v>
      </c>
      <c r="AC7" s="336">
        <v>3396.5425190402002</v>
      </c>
      <c r="AD7" s="337">
        <v>3291.5639996119889</v>
      </c>
      <c r="AE7" s="337">
        <v>2472.709426834514</v>
      </c>
      <c r="AF7" s="338">
        <v>2987.1445654898334</v>
      </c>
      <c r="AG7" s="338">
        <v>2524.5947884609132</v>
      </c>
      <c r="AH7" s="338">
        <v>2879.7475211303549</v>
      </c>
      <c r="AI7" s="338">
        <v>2157.4501418467571</v>
      </c>
      <c r="AJ7" s="338">
        <v>1881.0117035413509</v>
      </c>
      <c r="AK7" s="338">
        <v>2336.3824981561947</v>
      </c>
      <c r="AL7" s="338">
        <v>1839.9147877395144</v>
      </c>
      <c r="AM7" s="338">
        <v>2477.948182005794</v>
      </c>
      <c r="AN7" s="338">
        <v>2289.9179419098932</v>
      </c>
      <c r="AO7" s="338">
        <v>1762.5739891064857</v>
      </c>
      <c r="AP7" s="338">
        <v>1832.1197089358236</v>
      </c>
      <c r="AQ7" s="338">
        <v>1566.3320374186294</v>
      </c>
      <c r="AR7" s="338">
        <v>1322.3166859023013</v>
      </c>
      <c r="AS7" s="338">
        <v>903.53594234396746</v>
      </c>
      <c r="AT7" s="338">
        <v>1070.455159689946</v>
      </c>
      <c r="AU7" s="338">
        <v>1395.9288066567922</v>
      </c>
      <c r="AV7" s="338">
        <v>1185.5986418801494</v>
      </c>
      <c r="AW7" s="338">
        <v>874.07314822997137</v>
      </c>
      <c r="AX7" s="339">
        <v>1012.5012182126903</v>
      </c>
      <c r="AY7" s="339">
        <v>352</v>
      </c>
      <c r="AZ7" s="339">
        <v>741.97261358161541</v>
      </c>
      <c r="BA7" s="339">
        <v>1454.4112446250872</v>
      </c>
      <c r="BB7" s="339">
        <v>1311.306723352234</v>
      </c>
      <c r="BC7" s="339">
        <v>840.22765899504111</v>
      </c>
      <c r="BD7" s="339">
        <v>1120</v>
      </c>
      <c r="BE7" s="339">
        <v>1115</v>
      </c>
      <c r="BF7" s="339">
        <v>1265</v>
      </c>
      <c r="BG7" s="339">
        <v>2810</v>
      </c>
      <c r="BH7" s="339">
        <v>2215</v>
      </c>
      <c r="BI7" s="339">
        <v>1460</v>
      </c>
      <c r="BJ7" s="339">
        <v>1385</v>
      </c>
      <c r="BK7" s="339">
        <f>+'[2]8.25'!F7</f>
        <v>1135</v>
      </c>
      <c r="BL7" s="339">
        <v>1193</v>
      </c>
      <c r="BM7" s="339">
        <v>1050</v>
      </c>
      <c r="BN7" s="339">
        <v>1010</v>
      </c>
      <c r="BO7" s="339">
        <v>1021</v>
      </c>
      <c r="BP7" s="339">
        <v>1213</v>
      </c>
      <c r="BQ7" s="339">
        <v>760</v>
      </c>
      <c r="BR7" s="339">
        <v>770</v>
      </c>
      <c r="BS7" s="339">
        <v>1620</v>
      </c>
      <c r="BT7" s="338">
        <f>+'5.26'!F7</f>
        <v>1040</v>
      </c>
    </row>
    <row r="8" spans="2:78" ht="15.6">
      <c r="B8" s="425"/>
      <c r="C8" s="425"/>
      <c r="D8" s="343" t="s">
        <v>8</v>
      </c>
      <c r="E8" s="344" t="s">
        <v>3</v>
      </c>
      <c r="F8" s="332">
        <f t="shared" si="0"/>
        <v>34781.727144677126</v>
      </c>
      <c r="G8" s="332">
        <f t="shared" si="1"/>
        <v>84192.395479386541</v>
      </c>
      <c r="H8" s="332">
        <f t="shared" si="3"/>
        <v>92552.525740332523</v>
      </c>
      <c r="I8" s="332">
        <f t="shared" si="2"/>
        <v>95041.5401559077</v>
      </c>
      <c r="J8" s="332">
        <f t="shared" si="4"/>
        <v>121993</v>
      </c>
      <c r="K8" s="332">
        <f t="shared" ref="K8:K30" si="5">+SUM(BP8:BU8)</f>
        <v>54940</v>
      </c>
      <c r="L8" s="342">
        <v>0</v>
      </c>
      <c r="M8" s="334">
        <v>1044.7524293640545</v>
      </c>
      <c r="N8" s="334">
        <v>1913.6221815160759</v>
      </c>
      <c r="O8" s="334">
        <v>4998.4644405956242</v>
      </c>
      <c r="P8" s="334">
        <v>5880.2190342289914</v>
      </c>
      <c r="Q8" s="334">
        <v>6206.0603835259062</v>
      </c>
      <c r="R8" s="334">
        <v>7137.3529399692234</v>
      </c>
      <c r="S8" s="334">
        <v>7601.2557354772498</v>
      </c>
      <c r="T8" s="335">
        <v>8485.4810767186464</v>
      </c>
      <c r="U8" s="335">
        <v>6459.0147889758646</v>
      </c>
      <c r="V8" s="335">
        <v>7204.1475495285749</v>
      </c>
      <c r="W8" s="335">
        <v>7160.8644998565696</v>
      </c>
      <c r="X8" s="336">
        <v>8216.6088491510254</v>
      </c>
      <c r="Y8" s="336">
        <v>7721.2732084454938</v>
      </c>
      <c r="Z8" s="336">
        <v>6781.6206724996882</v>
      </c>
      <c r="AA8" s="336">
        <v>6963.1318328559255</v>
      </c>
      <c r="AB8" s="336">
        <v>4333.1844742371277</v>
      </c>
      <c r="AC8" s="336">
        <v>6544.321687729459</v>
      </c>
      <c r="AD8" s="337">
        <v>6589.0457999031014</v>
      </c>
      <c r="AE8" s="337">
        <v>7733.7010394850704</v>
      </c>
      <c r="AF8" s="338">
        <v>5478.3336431796797</v>
      </c>
      <c r="AG8" s="338">
        <v>6940.1445606632842</v>
      </c>
      <c r="AH8" s="338">
        <v>7528.5882920476051</v>
      </c>
      <c r="AI8" s="338">
        <v>6704.2644151654631</v>
      </c>
      <c r="AJ8" s="338">
        <v>8412.5213943803301</v>
      </c>
      <c r="AK8" s="338">
        <v>7803.2079178164031</v>
      </c>
      <c r="AL8" s="338">
        <v>8132.0203763531636</v>
      </c>
      <c r="AM8" s="338">
        <v>7711.7591725152315</v>
      </c>
      <c r="AN8" s="338">
        <v>8397.8393897394835</v>
      </c>
      <c r="AO8" s="338">
        <v>7434.0180071182785</v>
      </c>
      <c r="AP8" s="338">
        <v>8792.424115915961</v>
      </c>
      <c r="AQ8" s="338">
        <v>9217.4044554376396</v>
      </c>
      <c r="AR8" s="338">
        <v>8780.634602839491</v>
      </c>
      <c r="AS8" s="338">
        <v>8054.7359539581485</v>
      </c>
      <c r="AT8" s="338">
        <v>9168.4192444758064</v>
      </c>
      <c r="AU8" s="338">
        <v>5995.655563584749</v>
      </c>
      <c r="AV8" s="338">
        <v>7332.7792400179287</v>
      </c>
      <c r="AW8" s="338">
        <v>8199.8843673010379</v>
      </c>
      <c r="AX8" s="339">
        <v>7880.5777766973824</v>
      </c>
      <c r="AY8" s="339">
        <v>6971.5846541358133</v>
      </c>
      <c r="AZ8" s="339">
        <v>8696.7810921019591</v>
      </c>
      <c r="BA8" s="339">
        <v>8058.4748078897537</v>
      </c>
      <c r="BB8" s="339">
        <v>6981.7388798002012</v>
      </c>
      <c r="BC8" s="339">
        <v>8920.273973105428</v>
      </c>
      <c r="BD8" s="339">
        <v>9430</v>
      </c>
      <c r="BE8" s="339">
        <v>8300</v>
      </c>
      <c r="BF8" s="339">
        <v>9185</v>
      </c>
      <c r="BG8" s="339">
        <v>7940</v>
      </c>
      <c r="BH8" s="339">
        <v>8370</v>
      </c>
      <c r="BI8" s="339">
        <v>9945</v>
      </c>
      <c r="BJ8" s="339">
        <v>11805</v>
      </c>
      <c r="BK8" s="339">
        <f>+'[2]8.25'!F8</f>
        <v>11120</v>
      </c>
      <c r="BL8" s="339">
        <v>11647</v>
      </c>
      <c r="BM8" s="339">
        <v>11814</v>
      </c>
      <c r="BN8" s="339">
        <v>10765</v>
      </c>
      <c r="BO8" s="339">
        <v>11672</v>
      </c>
      <c r="BP8" s="339">
        <v>10800</v>
      </c>
      <c r="BQ8" s="339">
        <v>10350</v>
      </c>
      <c r="BR8" s="339">
        <v>11685</v>
      </c>
      <c r="BS8" s="339">
        <v>10270</v>
      </c>
      <c r="BT8" s="338">
        <f>+'5.26'!F8</f>
        <v>11835</v>
      </c>
    </row>
    <row r="9" spans="2:78" ht="15.6">
      <c r="B9" s="425"/>
      <c r="C9" s="425"/>
      <c r="D9" s="343" t="s">
        <v>106</v>
      </c>
      <c r="E9" s="344" t="s">
        <v>3</v>
      </c>
      <c r="F9" s="332">
        <f t="shared" si="0"/>
        <v>0</v>
      </c>
      <c r="G9" s="332">
        <f t="shared" si="1"/>
        <v>889.64975904501</v>
      </c>
      <c r="H9" s="332">
        <f t="shared" si="3"/>
        <v>7941.7684708098632</v>
      </c>
      <c r="I9" s="332">
        <f t="shared" si="2"/>
        <v>19805.050909034682</v>
      </c>
      <c r="J9" s="332">
        <f t="shared" si="4"/>
        <v>20628</v>
      </c>
      <c r="K9" s="332">
        <f t="shared" si="5"/>
        <v>7992</v>
      </c>
      <c r="L9" s="342"/>
      <c r="M9" s="334"/>
      <c r="N9" s="334"/>
      <c r="O9" s="334"/>
      <c r="P9" s="334"/>
      <c r="Q9" s="334"/>
      <c r="R9" s="334"/>
      <c r="S9" s="334"/>
      <c r="T9" s="335"/>
      <c r="U9" s="335"/>
      <c r="V9" s="335"/>
      <c r="W9" s="335"/>
      <c r="X9" s="336"/>
      <c r="Y9" s="336"/>
      <c r="Z9" s="336">
        <v>371.94307431933112</v>
      </c>
      <c r="AA9" s="336">
        <v>105.11906779801168</v>
      </c>
      <c r="AB9" s="336">
        <v>76.808226917511817</v>
      </c>
      <c r="AC9" s="336">
        <v>147.88514058881273</v>
      </c>
      <c r="AD9" s="337">
        <v>0</v>
      </c>
      <c r="AE9" s="337">
        <v>187.89424942134266</v>
      </c>
      <c r="AF9" s="338">
        <v>0</v>
      </c>
      <c r="AG9" s="338">
        <v>401.64335208028933</v>
      </c>
      <c r="AH9" s="338">
        <v>495.19163862397386</v>
      </c>
      <c r="AI9" s="338">
        <v>466.42665847423035</v>
      </c>
      <c r="AJ9" s="338">
        <v>1052.2786591309236</v>
      </c>
      <c r="AK9" s="338">
        <v>600.47206803940742</v>
      </c>
      <c r="AL9" s="338">
        <v>666.2780535220021</v>
      </c>
      <c r="AM9" s="338">
        <v>1137.1338704456707</v>
      </c>
      <c r="AN9" s="338">
        <v>487.35155348166802</v>
      </c>
      <c r="AO9" s="338">
        <v>961.53155619809229</v>
      </c>
      <c r="AP9" s="338">
        <v>687.13763159998098</v>
      </c>
      <c r="AQ9" s="338">
        <v>986.3234292136251</v>
      </c>
      <c r="AR9" s="338">
        <v>1356.1744643994434</v>
      </c>
      <c r="AS9" s="338">
        <v>1710.4514361818524</v>
      </c>
      <c r="AT9" s="338">
        <v>2201.6930154755623</v>
      </c>
      <c r="AU9" s="338">
        <v>1262.3019479129105</v>
      </c>
      <c r="AV9" s="338">
        <v>410.71329791880441</v>
      </c>
      <c r="AW9" s="338">
        <v>1441.850628181473</v>
      </c>
      <c r="AX9" s="339">
        <v>1722.9209732406184</v>
      </c>
      <c r="AY9" s="339">
        <v>2358</v>
      </c>
      <c r="AZ9" s="339">
        <v>1639.1327225975817</v>
      </c>
      <c r="BA9" s="339">
        <v>2294.1034272924617</v>
      </c>
      <c r="BB9" s="339">
        <v>1408.2106279344455</v>
      </c>
      <c r="BC9" s="339">
        <v>1999.4983678995316</v>
      </c>
      <c r="BD9" s="339">
        <v>2640</v>
      </c>
      <c r="BE9" s="339">
        <v>3035</v>
      </c>
      <c r="BF9" s="339">
        <v>2450</v>
      </c>
      <c r="BG9" s="339">
        <v>1440</v>
      </c>
      <c r="BH9" s="339">
        <v>1880</v>
      </c>
      <c r="BI9" s="339">
        <v>1475</v>
      </c>
      <c r="BJ9" s="339">
        <v>810</v>
      </c>
      <c r="BK9" s="339">
        <f>+'[2]8.25'!F9</f>
        <v>1945</v>
      </c>
      <c r="BL9" s="339">
        <v>1035</v>
      </c>
      <c r="BM9" s="339">
        <v>936</v>
      </c>
      <c r="BN9" s="339">
        <v>1475</v>
      </c>
      <c r="BO9" s="339">
        <v>1507</v>
      </c>
      <c r="BP9" s="339">
        <v>2187</v>
      </c>
      <c r="BQ9" s="339">
        <v>1445</v>
      </c>
      <c r="BR9" s="339">
        <v>1545</v>
      </c>
      <c r="BS9" s="339">
        <v>1690</v>
      </c>
      <c r="BT9" s="338">
        <f>+'5.26'!F9</f>
        <v>1125</v>
      </c>
    </row>
    <row r="10" spans="2:78" ht="15.6">
      <c r="B10" s="425"/>
      <c r="C10" s="425"/>
      <c r="D10" s="345" t="s">
        <v>27</v>
      </c>
      <c r="E10" s="346" t="s">
        <v>3</v>
      </c>
      <c r="F10" s="347">
        <f t="shared" si="0"/>
        <v>75179.621576280973</v>
      </c>
      <c r="G10" s="347">
        <f t="shared" si="1"/>
        <v>122182.14508727205</v>
      </c>
      <c r="H10" s="347">
        <f>+SUM(AF10:AQ10)</f>
        <v>127029.43207688394</v>
      </c>
      <c r="I10" s="347">
        <f t="shared" si="2"/>
        <v>127310.91890841219</v>
      </c>
      <c r="J10" s="347">
        <f t="shared" si="4"/>
        <v>159400</v>
      </c>
      <c r="K10" s="347">
        <f t="shared" si="5"/>
        <v>68335</v>
      </c>
      <c r="L10" s="348">
        <f>+SUM(L7:L9)</f>
        <v>5397.3271051029169</v>
      </c>
      <c r="M10" s="348">
        <f t="shared" ref="M10:AQ10" si="6">+SUM(M7:M9)</f>
        <v>7134.6684502150674</v>
      </c>
      <c r="N10" s="348">
        <f t="shared" si="6"/>
        <v>8809.5409005508318</v>
      </c>
      <c r="O10" s="348">
        <f t="shared" si="6"/>
        <v>10382.754072007196</v>
      </c>
      <c r="P10" s="348">
        <f t="shared" si="6"/>
        <v>10406.018025067649</v>
      </c>
      <c r="Q10" s="348">
        <f t="shared" si="6"/>
        <v>11497.140942513844</v>
      </c>
      <c r="R10" s="348">
        <f t="shared" si="6"/>
        <v>10988.42804326558</v>
      </c>
      <c r="S10" s="348">
        <f t="shared" si="6"/>
        <v>10563.744037557888</v>
      </c>
      <c r="T10" s="348">
        <f t="shared" si="6"/>
        <v>10311.015432239223</v>
      </c>
      <c r="U10" s="348">
        <f t="shared" si="6"/>
        <v>8443.2834239840995</v>
      </c>
      <c r="V10" s="348">
        <f t="shared" si="6"/>
        <v>10923.113967706997</v>
      </c>
      <c r="W10" s="348">
        <f t="shared" si="6"/>
        <v>10952.366990642071</v>
      </c>
      <c r="X10" s="348">
        <f t="shared" si="6"/>
        <v>10497.974798034873</v>
      </c>
      <c r="Y10" s="348">
        <f t="shared" si="6"/>
        <v>10274.634049032322</v>
      </c>
      <c r="Z10" s="348">
        <f t="shared" si="6"/>
        <v>10992.775751831394</v>
      </c>
      <c r="AA10" s="348">
        <f t="shared" si="6"/>
        <v>10497.738643044446</v>
      </c>
      <c r="AB10" s="348">
        <f t="shared" si="6"/>
        <v>8925.5781681421377</v>
      </c>
      <c r="AC10" s="348">
        <f t="shared" si="6"/>
        <v>10088.749347358473</v>
      </c>
      <c r="AD10" s="349">
        <f t="shared" si="6"/>
        <v>9880.6097995150903</v>
      </c>
      <c r="AE10" s="349">
        <f t="shared" si="6"/>
        <v>10394.304715740927</v>
      </c>
      <c r="AF10" s="349">
        <f t="shared" si="6"/>
        <v>8465.4782086695122</v>
      </c>
      <c r="AG10" s="349">
        <f t="shared" si="6"/>
        <v>9866.3827012044858</v>
      </c>
      <c r="AH10" s="349">
        <v>10903.527451801936</v>
      </c>
      <c r="AI10" s="349">
        <f t="shared" si="6"/>
        <v>9328.1412154864502</v>
      </c>
      <c r="AJ10" s="349">
        <f t="shared" si="6"/>
        <v>11345.811757052605</v>
      </c>
      <c r="AK10" s="349">
        <f t="shared" si="6"/>
        <v>10740.062484012005</v>
      </c>
      <c r="AL10" s="349">
        <f t="shared" si="6"/>
        <v>10638.213217614681</v>
      </c>
      <c r="AM10" s="349">
        <f t="shared" si="6"/>
        <v>11326.841224966696</v>
      </c>
      <c r="AN10" s="349">
        <f t="shared" si="6"/>
        <v>11175.108885131045</v>
      </c>
      <c r="AO10" s="349">
        <f t="shared" si="6"/>
        <v>10158.123552422856</v>
      </c>
      <c r="AP10" s="349">
        <f t="shared" si="6"/>
        <v>11311.681456451764</v>
      </c>
      <c r="AQ10" s="349">
        <f t="shared" si="6"/>
        <v>11770.059922069895</v>
      </c>
      <c r="AR10" s="349">
        <v>11459.125753141234</v>
      </c>
      <c r="AS10" s="349">
        <v>10668.723332483969</v>
      </c>
      <c r="AT10" s="349">
        <v>12440.567419641313</v>
      </c>
      <c r="AU10" s="349">
        <v>8653.8863181544511</v>
      </c>
      <c r="AV10" s="349">
        <v>8929.0911798168836</v>
      </c>
      <c r="AW10" s="349">
        <v>10515.808143712482</v>
      </c>
      <c r="AX10" s="350">
        <v>10615.999968150692</v>
      </c>
      <c r="AY10" s="350">
        <v>9681.5846541358133</v>
      </c>
      <c r="AZ10" s="350">
        <v>11077.886428281157</v>
      </c>
      <c r="BA10" s="350">
        <v>11806.9894798073</v>
      </c>
      <c r="BB10" s="350">
        <v>9701.2562310868798</v>
      </c>
      <c r="BC10" s="350">
        <v>11760</v>
      </c>
      <c r="BD10" s="350">
        <f>SUM(BD7:BD9)</f>
        <v>13190</v>
      </c>
      <c r="BE10" s="350">
        <f t="shared" ref="BE10:BT10" si="7">SUM(BE7:BE9)</f>
        <v>12450</v>
      </c>
      <c r="BF10" s="350">
        <f t="shared" si="7"/>
        <v>12900</v>
      </c>
      <c r="BG10" s="350">
        <f t="shared" si="7"/>
        <v>12190</v>
      </c>
      <c r="BH10" s="350">
        <f t="shared" si="7"/>
        <v>12465</v>
      </c>
      <c r="BI10" s="350">
        <f t="shared" si="7"/>
        <v>12880</v>
      </c>
      <c r="BJ10" s="350">
        <f t="shared" si="7"/>
        <v>14000</v>
      </c>
      <c r="BK10" s="350">
        <f t="shared" si="7"/>
        <v>14200</v>
      </c>
      <c r="BL10" s="350">
        <f t="shared" si="7"/>
        <v>13875</v>
      </c>
      <c r="BM10" s="350">
        <v>13800</v>
      </c>
      <c r="BN10" s="350">
        <v>13250</v>
      </c>
      <c r="BO10" s="350">
        <v>14200</v>
      </c>
      <c r="BP10" s="350">
        <v>14200</v>
      </c>
      <c r="BQ10" s="350">
        <v>12555</v>
      </c>
      <c r="BR10" s="350">
        <v>14000</v>
      </c>
      <c r="BS10" s="350">
        <v>13580</v>
      </c>
      <c r="BT10" s="350">
        <f t="shared" si="7"/>
        <v>14000</v>
      </c>
      <c r="BV10" s="314"/>
      <c r="BW10" s="314" t="s">
        <v>114</v>
      </c>
      <c r="BX10" s="314" t="s">
        <v>161</v>
      </c>
      <c r="BY10" s="314" t="s">
        <v>160</v>
      </c>
      <c r="BZ10" s="314" t="s">
        <v>159</v>
      </c>
    </row>
    <row r="11" spans="2:78" ht="15.6">
      <c r="B11" s="426" t="s">
        <v>9</v>
      </c>
      <c r="C11" s="426" t="s">
        <v>10</v>
      </c>
      <c r="D11" s="351" t="s">
        <v>2</v>
      </c>
      <c r="E11" s="341" t="s">
        <v>3</v>
      </c>
      <c r="F11" s="332">
        <f t="shared" si="0"/>
        <v>34509.206000000006</v>
      </c>
      <c r="G11" s="332">
        <f t="shared" si="1"/>
        <v>35531.190999999999</v>
      </c>
      <c r="H11" s="332">
        <f t="shared" si="3"/>
        <v>25275.763999999999</v>
      </c>
      <c r="I11" s="332">
        <f t="shared" si="2"/>
        <v>11767.882</v>
      </c>
      <c r="J11" s="332">
        <f t="shared" si="4"/>
        <v>15186.893000000002</v>
      </c>
      <c r="K11" s="332">
        <f t="shared" si="5"/>
        <v>5053.3339999999998</v>
      </c>
      <c r="L11" s="333">
        <v>2660.5780000000004</v>
      </c>
      <c r="M11" s="334">
        <v>6138.5360000000001</v>
      </c>
      <c r="N11" s="334">
        <v>5926.9940000000006</v>
      </c>
      <c r="O11" s="334">
        <v>4718.1270000000004</v>
      </c>
      <c r="P11" s="334">
        <v>3961.2409999999995</v>
      </c>
      <c r="Q11" s="334">
        <v>4702.0410000000011</v>
      </c>
      <c r="R11" s="334">
        <v>3658.9740000000002</v>
      </c>
      <c r="S11" s="334">
        <v>2742.7150000000006</v>
      </c>
      <c r="T11" s="335">
        <v>1665.4499999999998</v>
      </c>
      <c r="U11" s="335">
        <v>1791.62</v>
      </c>
      <c r="V11" s="335">
        <v>3532.8149999999996</v>
      </c>
      <c r="W11" s="335">
        <v>3769.1480000000001</v>
      </c>
      <c r="X11" s="336">
        <v>2243.5930000000003</v>
      </c>
      <c r="Y11" s="336">
        <v>2554.4830000000002</v>
      </c>
      <c r="Z11" s="336">
        <v>3652.5529999999999</v>
      </c>
      <c r="AA11" s="336">
        <v>3354.3920000000003</v>
      </c>
      <c r="AB11" s="336">
        <v>4425.4710000000005</v>
      </c>
      <c r="AC11" s="336">
        <v>3254.0169999999989</v>
      </c>
      <c r="AD11" s="337">
        <v>2874.2200000000003</v>
      </c>
      <c r="AE11" s="337">
        <v>2413.4289999999992</v>
      </c>
      <c r="AF11" s="338">
        <v>2859.5950000000003</v>
      </c>
      <c r="AG11" s="338">
        <v>2526.3569999999995</v>
      </c>
      <c r="AH11" s="338">
        <v>2943.5889999999999</v>
      </c>
      <c r="AI11" s="338">
        <v>1980.3889999999997</v>
      </c>
      <c r="AJ11" s="338">
        <v>1828.6659999999999</v>
      </c>
      <c r="AK11" s="338">
        <v>2306.1289999999995</v>
      </c>
      <c r="AL11" s="338">
        <v>1705.3489999999999</v>
      </c>
      <c r="AM11" s="338">
        <v>2395.6150000000002</v>
      </c>
      <c r="AN11" s="338">
        <v>1890.575</v>
      </c>
      <c r="AO11" s="338">
        <v>1520.1719999999998</v>
      </c>
      <c r="AP11" s="338">
        <v>1809.5450000000001</v>
      </c>
      <c r="AQ11" s="338">
        <v>1509.7830000000004</v>
      </c>
      <c r="AR11" s="338">
        <v>1131.9709999999998</v>
      </c>
      <c r="AS11" s="338">
        <v>867.74999999999989</v>
      </c>
      <c r="AT11" s="338">
        <v>1046.8470000000002</v>
      </c>
      <c r="AU11" s="338">
        <v>1182.97</v>
      </c>
      <c r="AV11" s="338">
        <v>1159.1670000000001</v>
      </c>
      <c r="AW11" s="338">
        <v>790.08999999999992</v>
      </c>
      <c r="AX11" s="339">
        <v>989.15300000000002</v>
      </c>
      <c r="AY11" s="339">
        <v>346.98500000000001</v>
      </c>
      <c r="AZ11" s="339">
        <v>700.72</v>
      </c>
      <c r="BA11" s="339">
        <v>1354.9069999999999</v>
      </c>
      <c r="BB11" s="339">
        <v>1165.3759999999997</v>
      </c>
      <c r="BC11" s="339">
        <v>1031.9459999999999</v>
      </c>
      <c r="BD11" s="339">
        <v>1057.855</v>
      </c>
      <c r="BE11" s="339">
        <v>922.69099999999992</v>
      </c>
      <c r="BF11" s="339">
        <v>1119.6710000000003</v>
      </c>
      <c r="BG11" s="339">
        <v>2385.473</v>
      </c>
      <c r="BH11" s="339">
        <v>2000.4470000000001</v>
      </c>
      <c r="BI11" s="339">
        <v>1486.528</v>
      </c>
      <c r="BJ11" s="339">
        <v>1386.1950000000002</v>
      </c>
      <c r="BK11" s="339">
        <f>+'[2]8.25'!F11</f>
        <v>1071.066</v>
      </c>
      <c r="BL11" s="339">
        <v>1175.9029999999998</v>
      </c>
      <c r="BM11" s="339">
        <v>1051.241</v>
      </c>
      <c r="BN11" s="339">
        <v>617.84299999999996</v>
      </c>
      <c r="BO11" s="339">
        <v>911.97999999999979</v>
      </c>
      <c r="BP11" s="339">
        <v>1002.502</v>
      </c>
      <c r="BQ11" s="339">
        <v>722.14099999999985</v>
      </c>
      <c r="BR11" s="339">
        <v>732.62900000000002</v>
      </c>
      <c r="BS11" s="339">
        <v>1654.5599999999997</v>
      </c>
      <c r="BT11" s="338">
        <f>+'5.26'!F11</f>
        <v>941.50200000000007</v>
      </c>
      <c r="BV11" s="314" t="s">
        <v>156</v>
      </c>
      <c r="BW11" s="314">
        <v>941.50200000000007</v>
      </c>
      <c r="BX11" s="314">
        <v>3.5</v>
      </c>
      <c r="BY11" s="545">
        <f>BX11/BW11</f>
        <v>3.7174642220621939E-3</v>
      </c>
      <c r="BZ11" s="545">
        <f>BX11/$BW$14</f>
        <v>2.6678313656171418E-4</v>
      </c>
    </row>
    <row r="12" spans="2:78" ht="15.6">
      <c r="B12" s="426"/>
      <c r="C12" s="426"/>
      <c r="D12" s="352" t="s">
        <v>4</v>
      </c>
      <c r="E12" s="344" t="s">
        <v>3</v>
      </c>
      <c r="F12" s="332">
        <f t="shared" si="0"/>
        <v>31552.497999999996</v>
      </c>
      <c r="G12" s="332">
        <f t="shared" si="1"/>
        <v>82586.796168900008</v>
      </c>
      <c r="H12" s="332">
        <f t="shared" si="3"/>
        <v>90749.445000000007</v>
      </c>
      <c r="I12" s="332">
        <f t="shared" si="2"/>
        <v>90236.047999999981</v>
      </c>
      <c r="J12" s="332">
        <f t="shared" si="4"/>
        <v>113789.605</v>
      </c>
      <c r="K12" s="332">
        <f t="shared" si="5"/>
        <v>51853.367999999995</v>
      </c>
      <c r="L12" s="333">
        <v>0</v>
      </c>
      <c r="M12" s="334">
        <v>685.75599999999997</v>
      </c>
      <c r="N12" s="334">
        <v>1862.5599999999997</v>
      </c>
      <c r="O12" s="334">
        <v>4625.8000000000011</v>
      </c>
      <c r="P12" s="334">
        <v>5719.33</v>
      </c>
      <c r="Q12" s="334">
        <v>4981.9420000000009</v>
      </c>
      <c r="R12" s="334">
        <v>6655.4499999999989</v>
      </c>
      <c r="S12" s="334">
        <v>7021.6599999999989</v>
      </c>
      <c r="T12" s="335">
        <v>8102.826</v>
      </c>
      <c r="U12" s="335">
        <v>6377.8049999999994</v>
      </c>
      <c r="V12" s="335">
        <v>7318.2740000000003</v>
      </c>
      <c r="W12" s="335">
        <v>7043.4799999999987</v>
      </c>
      <c r="X12" s="336">
        <v>8088.479000000003</v>
      </c>
      <c r="Y12" s="336">
        <v>7818.9561689000002</v>
      </c>
      <c r="Z12" s="336">
        <v>6679.9060000000018</v>
      </c>
      <c r="AA12" s="336">
        <v>6878.735999999999</v>
      </c>
      <c r="AB12" s="336">
        <v>4177.4989999999998</v>
      </c>
      <c r="AC12" s="336">
        <v>6206.3240000000005</v>
      </c>
      <c r="AD12" s="337">
        <v>6398.0769999999984</v>
      </c>
      <c r="AE12" s="337">
        <v>7496.4340000000002</v>
      </c>
      <c r="AF12" s="338">
        <v>5469.1130000000012</v>
      </c>
      <c r="AG12" s="338">
        <v>6975.1749999999984</v>
      </c>
      <c r="AH12" s="338">
        <v>7725.2290000000003</v>
      </c>
      <c r="AI12" s="338">
        <v>6390.0879999999997</v>
      </c>
      <c r="AJ12" s="338">
        <v>8147.8019999999997</v>
      </c>
      <c r="AK12" s="338">
        <v>7697.1010000000006</v>
      </c>
      <c r="AL12" s="338">
        <v>7580.94</v>
      </c>
      <c r="AM12" s="338">
        <v>7834.4169999999995</v>
      </c>
      <c r="AN12" s="338">
        <v>7986.8239999999996</v>
      </c>
      <c r="AO12" s="338">
        <v>7059.1419999999998</v>
      </c>
      <c r="AP12" s="338">
        <v>8709.9459999999981</v>
      </c>
      <c r="AQ12" s="338">
        <v>9173.6679999999997</v>
      </c>
      <c r="AR12" s="338">
        <v>8499.8159999999989</v>
      </c>
      <c r="AS12" s="338">
        <v>7821.3890000000001</v>
      </c>
      <c r="AT12" s="338">
        <v>8769.1790000000001</v>
      </c>
      <c r="AU12" s="338">
        <v>5643.347999999999</v>
      </c>
      <c r="AV12" s="338">
        <v>7179.8990000000013</v>
      </c>
      <c r="AW12" s="338">
        <v>7797.8459999999995</v>
      </c>
      <c r="AX12" s="339">
        <v>7160.4279999999999</v>
      </c>
      <c r="AY12" s="339">
        <v>6829.119999999999</v>
      </c>
      <c r="AZ12" s="339">
        <v>8743.8739999999998</v>
      </c>
      <c r="BA12" s="339">
        <v>7735.586000000003</v>
      </c>
      <c r="BB12" s="339">
        <v>6369.0969999999998</v>
      </c>
      <c r="BC12" s="339">
        <v>7686.4660000000003</v>
      </c>
      <c r="BD12" s="339">
        <v>9048.1039999999994</v>
      </c>
      <c r="BE12" s="339">
        <v>7287.7680000000009</v>
      </c>
      <c r="BF12" s="339">
        <v>7852.896999999999</v>
      </c>
      <c r="BG12" s="339">
        <v>7121.735999999999</v>
      </c>
      <c r="BH12" s="339">
        <v>8084.0580000000009</v>
      </c>
      <c r="BI12" s="339">
        <v>9267.6420000000016</v>
      </c>
      <c r="BJ12" s="339">
        <v>11333.927</v>
      </c>
      <c r="BK12" s="339">
        <f>+'[2]8.25'!F12</f>
        <v>10112.449999999999</v>
      </c>
      <c r="BL12" s="339">
        <v>10511.95</v>
      </c>
      <c r="BM12" s="339">
        <v>11246.420999999998</v>
      </c>
      <c r="BN12" s="339">
        <v>10130.657999999998</v>
      </c>
      <c r="BO12" s="339">
        <v>11791.994000000001</v>
      </c>
      <c r="BP12" s="339">
        <v>10011.423000000001</v>
      </c>
      <c r="BQ12" s="339">
        <v>9960.3149999999987</v>
      </c>
      <c r="BR12" s="339">
        <v>11050.316000000001</v>
      </c>
      <c r="BS12" s="339">
        <v>9685.9539999999997</v>
      </c>
      <c r="BT12" s="338">
        <f>+'5.26'!F12</f>
        <v>11145.36</v>
      </c>
      <c r="BV12" s="314" t="s">
        <v>157</v>
      </c>
      <c r="BW12" s="314">
        <v>11145.36</v>
      </c>
      <c r="BX12" s="314">
        <v>177.77500000000003</v>
      </c>
      <c r="BY12" s="545">
        <f t="shared" ref="BY12:BY13" si="8">BX12/BW12</f>
        <v>1.5950583920124609E-2</v>
      </c>
      <c r="BZ12" s="545">
        <f t="shared" ref="BZ12:BZ13" si="9">BX12/$BW$14</f>
        <v>1.35506777435025E-2</v>
      </c>
    </row>
    <row r="13" spans="2:78" ht="15.6">
      <c r="B13" s="426"/>
      <c r="C13" s="426"/>
      <c r="D13" s="352" t="s">
        <v>107</v>
      </c>
      <c r="E13" s="344" t="s">
        <v>3</v>
      </c>
      <c r="F13" s="332">
        <f t="shared" si="0"/>
        <v>0</v>
      </c>
      <c r="G13" s="332">
        <f t="shared" si="1"/>
        <v>847.14900000000011</v>
      </c>
      <c r="H13" s="332">
        <f t="shared" si="3"/>
        <v>7819.05</v>
      </c>
      <c r="I13" s="332">
        <f t="shared" si="2"/>
        <v>18734.028000000002</v>
      </c>
      <c r="J13" s="332">
        <f t="shared" si="4"/>
        <v>19060.960999999999</v>
      </c>
      <c r="K13" s="332">
        <f t="shared" si="5"/>
        <v>7749.82</v>
      </c>
      <c r="L13" s="333"/>
      <c r="M13" s="334"/>
      <c r="N13" s="334"/>
      <c r="O13" s="334"/>
      <c r="P13" s="334"/>
      <c r="Q13" s="334"/>
      <c r="R13" s="334"/>
      <c r="S13" s="334"/>
      <c r="T13" s="335"/>
      <c r="U13" s="335"/>
      <c r="V13" s="335"/>
      <c r="W13" s="335"/>
      <c r="X13" s="336"/>
      <c r="Y13" s="336"/>
      <c r="Z13" s="336">
        <v>338.11099999999999</v>
      </c>
      <c r="AA13" s="336">
        <v>106.197</v>
      </c>
      <c r="AB13" s="336">
        <v>75.114999999999995</v>
      </c>
      <c r="AC13" s="336">
        <v>142.12299999999999</v>
      </c>
      <c r="AD13" s="337">
        <v>0</v>
      </c>
      <c r="AE13" s="337">
        <v>185.60300000000001</v>
      </c>
      <c r="AF13" s="338">
        <v>0</v>
      </c>
      <c r="AG13" s="338">
        <v>384.654</v>
      </c>
      <c r="AH13" s="338">
        <v>473.89599999999996</v>
      </c>
      <c r="AI13" s="338">
        <v>480.16300000000001</v>
      </c>
      <c r="AJ13" s="338">
        <v>1058.319</v>
      </c>
      <c r="AK13" s="338">
        <v>582.17599999999993</v>
      </c>
      <c r="AL13" s="338">
        <v>658.20399999999995</v>
      </c>
      <c r="AM13" s="338">
        <v>1086.758</v>
      </c>
      <c r="AN13" s="338">
        <v>470.97199999999998</v>
      </c>
      <c r="AO13" s="338">
        <v>968.70600000000002</v>
      </c>
      <c r="AP13" s="338">
        <v>674.029</v>
      </c>
      <c r="AQ13" s="338">
        <v>981.173</v>
      </c>
      <c r="AR13" s="338">
        <v>1317.8710000000001</v>
      </c>
      <c r="AS13" s="338">
        <v>1716.3390000000002</v>
      </c>
      <c r="AT13" s="338">
        <v>2199.41</v>
      </c>
      <c r="AU13" s="338">
        <v>1218.0680000000002</v>
      </c>
      <c r="AV13" s="338">
        <v>406.69299999999998</v>
      </c>
      <c r="AW13" s="338">
        <v>1304.636</v>
      </c>
      <c r="AX13" s="339">
        <v>1490.297</v>
      </c>
      <c r="AY13" s="339">
        <v>2272.6509999999998</v>
      </c>
      <c r="AZ13" s="339">
        <v>1376.2030000000002</v>
      </c>
      <c r="BA13" s="339">
        <v>2176.0150000000003</v>
      </c>
      <c r="BB13" s="339">
        <v>1297.875</v>
      </c>
      <c r="BC13" s="339">
        <v>1957.9699999999998</v>
      </c>
      <c r="BD13" s="339">
        <v>2516.1179999999999</v>
      </c>
      <c r="BE13" s="339">
        <v>2763.8250000000003</v>
      </c>
      <c r="BF13" s="339">
        <v>2200.6959999999999</v>
      </c>
      <c r="BG13" s="339">
        <v>1265.357</v>
      </c>
      <c r="BH13" s="339">
        <v>1631.567</v>
      </c>
      <c r="BI13" s="339">
        <v>1522.8240000000001</v>
      </c>
      <c r="BJ13" s="339">
        <v>829.91799999999989</v>
      </c>
      <c r="BK13" s="339">
        <f>+'[2]8.25'!F13</f>
        <v>1818.5589999999997</v>
      </c>
      <c r="BL13" s="339">
        <v>813.30000000000007</v>
      </c>
      <c r="BM13" s="339">
        <v>1062.662</v>
      </c>
      <c r="BN13" s="339">
        <v>1284.348</v>
      </c>
      <c r="BO13" s="339">
        <v>1351.7870000000003</v>
      </c>
      <c r="BP13" s="339">
        <v>2109.2739999999999</v>
      </c>
      <c r="BQ13" s="339">
        <v>1394.903</v>
      </c>
      <c r="BR13" s="339">
        <v>1528.1390000000001</v>
      </c>
      <c r="BS13" s="339">
        <v>1685.0959999999998</v>
      </c>
      <c r="BT13" s="338">
        <f>+'5.26'!F13</f>
        <v>1032.4079999999999</v>
      </c>
      <c r="BV13" s="314" t="s">
        <v>158</v>
      </c>
      <c r="BW13" s="314">
        <v>1032.4079999999999</v>
      </c>
      <c r="BX13" s="314">
        <v>91.3</v>
      </c>
      <c r="BY13" s="545">
        <f t="shared" si="8"/>
        <v>8.8434029957148733E-2</v>
      </c>
      <c r="BZ13" s="545">
        <f t="shared" si="9"/>
        <v>6.9592286765955726E-3</v>
      </c>
    </row>
    <row r="14" spans="2:78" ht="15.6">
      <c r="B14" s="426"/>
      <c r="C14" s="426"/>
      <c r="D14" s="353" t="s">
        <v>28</v>
      </c>
      <c r="E14" s="354" t="s">
        <v>3</v>
      </c>
      <c r="F14" s="355">
        <f t="shared" si="0"/>
        <v>66061.703999999998</v>
      </c>
      <c r="G14" s="355">
        <f t="shared" si="1"/>
        <v>118965.13616890002</v>
      </c>
      <c r="H14" s="355">
        <f>+SUM(AF14:AQ14)</f>
        <v>123844.25899999999</v>
      </c>
      <c r="I14" s="355">
        <f>+SUM(AR14:BC14)</f>
        <v>120737.958</v>
      </c>
      <c r="J14" s="355">
        <f t="shared" si="4"/>
        <v>148037.45899999997</v>
      </c>
      <c r="K14" s="355">
        <f t="shared" si="5"/>
        <v>64656.521999999997</v>
      </c>
      <c r="L14" s="356">
        <f>+SUM(L11:L13)</f>
        <v>2660.5780000000004</v>
      </c>
      <c r="M14" s="356">
        <f t="shared" ref="M14:AP14" si="10">+SUM(M11:M13)</f>
        <v>6824.2920000000004</v>
      </c>
      <c r="N14" s="356">
        <f t="shared" si="10"/>
        <v>7789.5540000000001</v>
      </c>
      <c r="O14" s="356">
        <f t="shared" si="10"/>
        <v>9343.9270000000015</v>
      </c>
      <c r="P14" s="356">
        <f t="shared" si="10"/>
        <v>9680.5709999999999</v>
      </c>
      <c r="Q14" s="356">
        <f t="shared" si="10"/>
        <v>9683.983000000002</v>
      </c>
      <c r="R14" s="356">
        <f t="shared" si="10"/>
        <v>10314.423999999999</v>
      </c>
      <c r="S14" s="356">
        <f t="shared" si="10"/>
        <v>9764.375</v>
      </c>
      <c r="T14" s="356">
        <f t="shared" si="10"/>
        <v>9768.2759999999998</v>
      </c>
      <c r="U14" s="356">
        <f t="shared" si="10"/>
        <v>8169.4249999999993</v>
      </c>
      <c r="V14" s="356">
        <f t="shared" si="10"/>
        <v>10851.089</v>
      </c>
      <c r="W14" s="356">
        <f t="shared" si="10"/>
        <v>10812.627999999999</v>
      </c>
      <c r="X14" s="356">
        <f t="shared" si="10"/>
        <v>10332.072000000004</v>
      </c>
      <c r="Y14" s="356">
        <f t="shared" si="10"/>
        <v>10373.4391689</v>
      </c>
      <c r="Z14" s="356">
        <f t="shared" si="10"/>
        <v>10670.570000000003</v>
      </c>
      <c r="AA14" s="356">
        <f t="shared" si="10"/>
        <v>10339.324999999999</v>
      </c>
      <c r="AB14" s="356">
        <f t="shared" si="10"/>
        <v>8678.0850000000009</v>
      </c>
      <c r="AC14" s="356">
        <f t="shared" si="10"/>
        <v>9602.4639999999999</v>
      </c>
      <c r="AD14" s="357">
        <f t="shared" si="10"/>
        <v>9272.2969999999987</v>
      </c>
      <c r="AE14" s="357">
        <f t="shared" si="10"/>
        <v>10095.465999999999</v>
      </c>
      <c r="AF14" s="357">
        <f t="shared" si="10"/>
        <v>8328.7080000000024</v>
      </c>
      <c r="AG14" s="357">
        <f t="shared" si="10"/>
        <v>9886.1859999999979</v>
      </c>
      <c r="AH14" s="357">
        <v>11142.714</v>
      </c>
      <c r="AI14" s="357">
        <f t="shared" si="10"/>
        <v>8850.64</v>
      </c>
      <c r="AJ14" s="357">
        <f t="shared" si="10"/>
        <v>11034.786999999998</v>
      </c>
      <c r="AK14" s="357">
        <f t="shared" si="10"/>
        <v>10585.405999999999</v>
      </c>
      <c r="AL14" s="357">
        <f t="shared" si="10"/>
        <v>9944.4929999999986</v>
      </c>
      <c r="AM14" s="357">
        <v>11316.789999999997</v>
      </c>
      <c r="AN14" s="357">
        <f t="shared" si="10"/>
        <v>10348.370999999999</v>
      </c>
      <c r="AO14" s="357">
        <f t="shared" si="10"/>
        <v>9548.02</v>
      </c>
      <c r="AP14" s="357">
        <f t="shared" si="10"/>
        <v>11193.519999999999</v>
      </c>
      <c r="AQ14" s="357">
        <v>11664.624000000002</v>
      </c>
      <c r="AR14" s="357">
        <v>10949.657999999999</v>
      </c>
      <c r="AS14" s="357">
        <v>10405.477999999999</v>
      </c>
      <c r="AT14" s="357">
        <v>12015.435999999998</v>
      </c>
      <c r="AU14" s="357">
        <v>8044.3859999999995</v>
      </c>
      <c r="AV14" s="357">
        <v>8745.759</v>
      </c>
      <c r="AW14" s="357">
        <v>9892.5720000000001</v>
      </c>
      <c r="AX14" s="358">
        <v>9639.8780000000006</v>
      </c>
      <c r="AY14" s="358">
        <v>9448.7560000000012</v>
      </c>
      <c r="AZ14" s="358">
        <v>10820.796999999997</v>
      </c>
      <c r="BA14" s="358">
        <v>11266.508</v>
      </c>
      <c r="BB14" s="358">
        <v>8832.348</v>
      </c>
      <c r="BC14" s="358">
        <v>10676.382000000001</v>
      </c>
      <c r="BD14" s="358">
        <f>SUM(BD11:BD13)</f>
        <v>12622.076999999999</v>
      </c>
      <c r="BE14" s="358">
        <f t="shared" ref="BE14:BT14" si="11">SUM(BE11:BE13)</f>
        <v>10974.284000000001</v>
      </c>
      <c r="BF14" s="358">
        <f t="shared" si="11"/>
        <v>11173.263999999999</v>
      </c>
      <c r="BG14" s="358">
        <f t="shared" si="11"/>
        <v>10772.565999999999</v>
      </c>
      <c r="BH14" s="358">
        <f t="shared" si="11"/>
        <v>11716.072</v>
      </c>
      <c r="BI14" s="358">
        <f t="shared" si="11"/>
        <v>12276.994000000002</v>
      </c>
      <c r="BJ14" s="358">
        <f t="shared" si="11"/>
        <v>13550.039999999999</v>
      </c>
      <c r="BK14" s="358">
        <f t="shared" si="11"/>
        <v>13002.074999999999</v>
      </c>
      <c r="BL14" s="358">
        <f t="shared" si="11"/>
        <v>12501.153</v>
      </c>
      <c r="BM14" s="358">
        <f t="shared" si="11"/>
        <v>13360.323999999999</v>
      </c>
      <c r="BN14" s="358">
        <f t="shared" si="11"/>
        <v>12032.848999999998</v>
      </c>
      <c r="BO14" s="358">
        <v>14055.761</v>
      </c>
      <c r="BP14" s="358">
        <v>13123.199000000001</v>
      </c>
      <c r="BQ14" s="358">
        <v>12077.358999999999</v>
      </c>
      <c r="BR14" s="358">
        <v>13311.084000000003</v>
      </c>
      <c r="BS14" s="358">
        <v>13025.609999999999</v>
      </c>
      <c r="BT14" s="358">
        <f t="shared" si="11"/>
        <v>13119.27</v>
      </c>
      <c r="BU14" s="302"/>
      <c r="BV14" s="390" t="s">
        <v>26</v>
      </c>
      <c r="BW14" s="546">
        <f>SUM(BW11:BW13)</f>
        <v>13119.27</v>
      </c>
      <c r="BX14" s="546">
        <f>SUM(BX11:BX13)</f>
        <v>272.57500000000005</v>
      </c>
      <c r="BY14" s="314"/>
      <c r="BZ14" s="547">
        <f>SUM(BZ11:BZ13)</f>
        <v>2.0776689556659789E-2</v>
      </c>
    </row>
    <row r="15" spans="2:78" ht="17.399999999999999" customHeight="1">
      <c r="B15" s="429" t="s">
        <v>12</v>
      </c>
      <c r="C15" s="429" t="s">
        <v>11</v>
      </c>
      <c r="D15" s="359" t="s">
        <v>13</v>
      </c>
      <c r="E15" s="360" t="s">
        <v>3</v>
      </c>
      <c r="F15" s="337">
        <f t="shared" ref="F15:AH15" si="12">+F11-F7</f>
        <v>-5888.6884316038413</v>
      </c>
      <c r="G15" s="337">
        <f t="shared" si="12"/>
        <v>-1568.9088488404959</v>
      </c>
      <c r="H15" s="337">
        <f t="shared" si="12"/>
        <v>-1259.3738657415488</v>
      </c>
      <c r="I15" s="337">
        <f t="shared" si="2"/>
        <v>-696.44584346979536</v>
      </c>
      <c r="J15" s="337">
        <f t="shared" ref="J15:J30" si="13">+SUM(BD15:BT15)</f>
        <v>-1935.8362311709404</v>
      </c>
      <c r="K15" s="337">
        <f t="shared" si="5"/>
        <v>-349.66600000000005</v>
      </c>
      <c r="L15" s="337">
        <f t="shared" si="12"/>
        <v>-2736.7491051029165</v>
      </c>
      <c r="M15" s="337">
        <f t="shared" si="12"/>
        <v>48.619979148987113</v>
      </c>
      <c r="N15" s="337">
        <f t="shared" si="12"/>
        <v>-968.92471903475598</v>
      </c>
      <c r="O15" s="337">
        <f t="shared" si="12"/>
        <v>-666.16263141157015</v>
      </c>
      <c r="P15" s="337">
        <f t="shared" si="12"/>
        <v>-564.55799083865941</v>
      </c>
      <c r="Q15" s="337">
        <f t="shared" si="12"/>
        <v>-589.03955898793629</v>
      </c>
      <c r="R15" s="337">
        <f t="shared" si="12"/>
        <v>-192.10110329635563</v>
      </c>
      <c r="S15" s="337">
        <f t="shared" si="12"/>
        <v>-219.77330208063859</v>
      </c>
      <c r="T15" s="337">
        <f t="shared" si="12"/>
        <v>-160.08435552057563</v>
      </c>
      <c r="U15" s="337">
        <f t="shared" si="12"/>
        <v>-192.64863500823571</v>
      </c>
      <c r="V15" s="337">
        <f t="shared" si="12"/>
        <v>-186.15141817842186</v>
      </c>
      <c r="W15" s="337">
        <f t="shared" si="12"/>
        <v>-22.354490785501184</v>
      </c>
      <c r="X15" s="337">
        <f t="shared" si="12"/>
        <v>-37.772948883846311</v>
      </c>
      <c r="Y15" s="337">
        <f t="shared" si="12"/>
        <v>1.1221594131720849</v>
      </c>
      <c r="Z15" s="337">
        <f t="shared" si="12"/>
        <v>-186.65900501237456</v>
      </c>
      <c r="AA15" s="337">
        <f t="shared" si="12"/>
        <v>-75.095742390508804</v>
      </c>
      <c r="AB15" s="337">
        <f t="shared" si="12"/>
        <v>-90.114466987498417</v>
      </c>
      <c r="AC15" s="337">
        <f t="shared" si="12"/>
        <v>-142.52551904020129</v>
      </c>
      <c r="AD15" s="337">
        <f t="shared" si="12"/>
        <v>-417.34399961198869</v>
      </c>
      <c r="AE15" s="337">
        <f t="shared" si="12"/>
        <v>-59.280426834514856</v>
      </c>
      <c r="AF15" s="337">
        <f t="shared" si="12"/>
        <v>-127.54956548983318</v>
      </c>
      <c r="AG15" s="337">
        <f t="shared" si="12"/>
        <v>1.7622115390863655</v>
      </c>
      <c r="AH15" s="337">
        <f t="shared" si="12"/>
        <v>63.841478869645016</v>
      </c>
      <c r="AI15" s="337">
        <f t="shared" ref="AI15:AQ15" si="14">+AI11-AI7</f>
        <v>-177.06114184675744</v>
      </c>
      <c r="AJ15" s="337">
        <v>-52.345703541351028</v>
      </c>
      <c r="AK15" s="337">
        <v>-30.253498156194844</v>
      </c>
      <c r="AL15" s="337">
        <v>-134.56578773951478</v>
      </c>
      <c r="AM15" s="337">
        <v>-125.41718200579403</v>
      </c>
      <c r="AN15" s="337">
        <v>-399.34294190989334</v>
      </c>
      <c r="AO15" s="337">
        <v>-242.40198910648587</v>
      </c>
      <c r="AP15" s="337">
        <v>-22.574708935823537</v>
      </c>
      <c r="AQ15" s="337">
        <f t="shared" si="14"/>
        <v>-56.549037418629041</v>
      </c>
      <c r="AR15" s="337">
        <v>-190.34568590230151</v>
      </c>
      <c r="AS15" s="337">
        <v>-35.785942343967577</v>
      </c>
      <c r="AT15" s="337">
        <v>-23.608159689945751</v>
      </c>
      <c r="AU15" s="337">
        <v>-212.95880665679215</v>
      </c>
      <c r="AV15" s="337">
        <v>-26.4316418801493</v>
      </c>
      <c r="AW15" s="337">
        <v>-83.983148229971448</v>
      </c>
      <c r="AX15" s="361">
        <v>-23.348218212690348</v>
      </c>
      <c r="AY15" s="361">
        <v>-5.0149999999999988</v>
      </c>
      <c r="AZ15" s="361">
        <v>-41.252613581615456</v>
      </c>
      <c r="BA15" s="361">
        <v>-99.504244625086955</v>
      </c>
      <c r="BB15" s="361">
        <v>-145.9307233522338</v>
      </c>
      <c r="BC15" s="361">
        <v>191.71834100495897</v>
      </c>
      <c r="BD15" s="361">
        <v>-62.144999999999982</v>
      </c>
      <c r="BE15" s="361">
        <v>-186.85123117094062</v>
      </c>
      <c r="BF15" s="361">
        <v>-143.82899999999998</v>
      </c>
      <c r="BG15" s="361">
        <v>-424.52700000000004</v>
      </c>
      <c r="BH15" s="361">
        <v>-216.55300000000003</v>
      </c>
      <c r="BI15" s="361">
        <v>26.527999999999977</v>
      </c>
      <c r="BJ15" s="361">
        <v>2.1950000000000074</v>
      </c>
      <c r="BK15" s="361">
        <v>-63.955000000000013</v>
      </c>
      <c r="BL15" s="361">
        <v>-17.097000000000016</v>
      </c>
      <c r="BM15" s="361">
        <v>1.2410000000000174</v>
      </c>
      <c r="BN15" s="361">
        <v>-392.15700000000004</v>
      </c>
      <c r="BO15" s="361">
        <v>-109.02000000000005</v>
      </c>
      <c r="BP15" s="361">
        <v>-210.49800000000002</v>
      </c>
      <c r="BQ15" s="361">
        <v>-37.858999999999995</v>
      </c>
      <c r="BR15" s="361">
        <v>-37.370999999999974</v>
      </c>
      <c r="BS15" s="361">
        <v>34.559999999999981</v>
      </c>
      <c r="BT15" s="337">
        <f>+'5.26'!F15</f>
        <v>-98.49799999999999</v>
      </c>
    </row>
    <row r="16" spans="2:78">
      <c r="B16" s="429"/>
      <c r="C16" s="429"/>
      <c r="D16" s="362" t="s">
        <v>14</v>
      </c>
      <c r="E16" s="363" t="s">
        <v>3</v>
      </c>
      <c r="F16" s="337">
        <f t="shared" ref="F16:AH16" si="15">+F12-F8</f>
        <v>-3229.2291446771305</v>
      </c>
      <c r="G16" s="337">
        <f t="shared" si="15"/>
        <v>-1605.5993104865338</v>
      </c>
      <c r="H16" s="337">
        <f t="shared" si="15"/>
        <v>-1803.0807403325161</v>
      </c>
      <c r="I16" s="337">
        <f t="shared" si="2"/>
        <v>-4805.4921559076984</v>
      </c>
      <c r="J16" s="337">
        <f t="shared" si="13"/>
        <v>-11311.053292434352</v>
      </c>
      <c r="K16" s="337">
        <f t="shared" si="5"/>
        <v>-3086.6319999999996</v>
      </c>
      <c r="L16" s="337">
        <f t="shared" si="15"/>
        <v>0</v>
      </c>
      <c r="M16" s="337">
        <f t="shared" si="15"/>
        <v>-358.99642936405451</v>
      </c>
      <c r="N16" s="337">
        <f t="shared" si="15"/>
        <v>-51.06218151607618</v>
      </c>
      <c r="O16" s="337">
        <f t="shared" si="15"/>
        <v>-372.66444059562309</v>
      </c>
      <c r="P16" s="337">
        <f t="shared" si="15"/>
        <v>-160.88903422899148</v>
      </c>
      <c r="Q16" s="337">
        <f t="shared" si="15"/>
        <v>-1224.1183835259053</v>
      </c>
      <c r="R16" s="337">
        <f t="shared" si="15"/>
        <v>-481.90293996922446</v>
      </c>
      <c r="S16" s="337">
        <f t="shared" si="15"/>
        <v>-579.59573547725086</v>
      </c>
      <c r="T16" s="337">
        <f t="shared" si="15"/>
        <v>-382.65507671864634</v>
      </c>
      <c r="U16" s="337">
        <f t="shared" si="15"/>
        <v>-81.209788975865195</v>
      </c>
      <c r="V16" s="337">
        <f t="shared" si="15"/>
        <v>114.12645047142541</v>
      </c>
      <c r="W16" s="337">
        <f t="shared" si="15"/>
        <v>-117.38449985657098</v>
      </c>
      <c r="X16" s="337">
        <f t="shared" si="15"/>
        <v>-128.12984915102243</v>
      </c>
      <c r="Y16" s="337">
        <f t="shared" si="15"/>
        <v>97.682960454506429</v>
      </c>
      <c r="Z16" s="337">
        <f t="shared" si="15"/>
        <v>-101.71467249968646</v>
      </c>
      <c r="AA16" s="337">
        <f t="shared" si="15"/>
        <v>-84.395832855926528</v>
      </c>
      <c r="AB16" s="337">
        <f t="shared" si="15"/>
        <v>-155.68547423712789</v>
      </c>
      <c r="AC16" s="337">
        <f t="shared" si="15"/>
        <v>-337.99768772945845</v>
      </c>
      <c r="AD16" s="337">
        <f t="shared" si="15"/>
        <v>-190.96879990310299</v>
      </c>
      <c r="AE16" s="337">
        <f t="shared" si="15"/>
        <v>-237.2670394850702</v>
      </c>
      <c r="AF16" s="337">
        <f t="shared" si="15"/>
        <v>-9.2206431796785182</v>
      </c>
      <c r="AG16" s="337">
        <f t="shared" si="15"/>
        <v>35.030439336714153</v>
      </c>
      <c r="AH16" s="337">
        <f t="shared" si="15"/>
        <v>196.64070795239513</v>
      </c>
      <c r="AI16" s="337">
        <f t="shared" ref="AI16:AQ16" si="16">+AI12-AI8</f>
        <v>-314.17641516546337</v>
      </c>
      <c r="AJ16" s="337">
        <v>-264.71939438032899</v>
      </c>
      <c r="AK16" s="337">
        <v>-106.10691781640287</v>
      </c>
      <c r="AL16" s="337">
        <v>-581.08037635316441</v>
      </c>
      <c r="AM16" s="337">
        <v>-125.46417251523079</v>
      </c>
      <c r="AN16" s="337">
        <v>-411.01538973948476</v>
      </c>
      <c r="AO16" s="337">
        <v>-374.87600711827872</v>
      </c>
      <c r="AP16" s="337">
        <v>-82.478115915962917</v>
      </c>
      <c r="AQ16" s="337">
        <f t="shared" si="16"/>
        <v>-43.736455437639961</v>
      </c>
      <c r="AR16" s="337">
        <v>-280.81860283949209</v>
      </c>
      <c r="AS16" s="337">
        <v>-233.34695395814833</v>
      </c>
      <c r="AT16" s="337">
        <v>-399.24024447580547</v>
      </c>
      <c r="AU16" s="337">
        <v>-352.30756358474991</v>
      </c>
      <c r="AV16" s="337">
        <v>-152.88024001792746</v>
      </c>
      <c r="AW16" s="337">
        <v>-402.03836730103831</v>
      </c>
      <c r="AX16" s="361">
        <v>-720.14977669738266</v>
      </c>
      <c r="AY16" s="361">
        <v>-142.4646541358135</v>
      </c>
      <c r="AZ16" s="361">
        <v>47.092907898040579</v>
      </c>
      <c r="BA16" s="361">
        <v>-322.8888078897532</v>
      </c>
      <c r="BB16" s="361">
        <v>-612.64187980020017</v>
      </c>
      <c r="BC16" s="361">
        <v>-1233.8079731054283</v>
      </c>
      <c r="BD16" s="361">
        <v>-381.89599999999979</v>
      </c>
      <c r="BE16" s="361">
        <v>-1012.1372924343539</v>
      </c>
      <c r="BF16" s="361">
        <v>-1333.6029999999996</v>
      </c>
      <c r="BG16" s="361">
        <v>-818.26400000000001</v>
      </c>
      <c r="BH16" s="361">
        <v>-303.94200000000012</v>
      </c>
      <c r="BI16" s="361">
        <v>-677.35800000000029</v>
      </c>
      <c r="BJ16" s="361">
        <v>-472.07300000000032</v>
      </c>
      <c r="BK16" s="361">
        <v>-1008.1709999999999</v>
      </c>
      <c r="BL16" s="361">
        <v>-1135.0500000000002</v>
      </c>
      <c r="BM16" s="361">
        <v>-567.57900000000006</v>
      </c>
      <c r="BN16" s="361">
        <v>-634.3420000000001</v>
      </c>
      <c r="BO16" s="361">
        <v>119.99399999999997</v>
      </c>
      <c r="BP16" s="361">
        <v>-788.57700000000011</v>
      </c>
      <c r="BQ16" s="361">
        <v>-389.68499999999989</v>
      </c>
      <c r="BR16" s="361">
        <v>-634.68399999999986</v>
      </c>
      <c r="BS16" s="361">
        <v>-584.04599999999982</v>
      </c>
      <c r="BT16" s="337">
        <f>+'5.26'!F16</f>
        <v>-689.63999999999987</v>
      </c>
    </row>
    <row r="17" spans="2:72">
      <c r="B17" s="429"/>
      <c r="C17" s="429"/>
      <c r="D17" s="362" t="s">
        <v>108</v>
      </c>
      <c r="E17" s="363" t="s">
        <v>3</v>
      </c>
      <c r="F17" s="337">
        <f t="shared" ref="F17:AH17" si="17">+F13-F9</f>
        <v>0</v>
      </c>
      <c r="G17" s="337">
        <f t="shared" si="17"/>
        <v>-42.500759045009886</v>
      </c>
      <c r="H17" s="337">
        <f t="shared" si="17"/>
        <v>-122.71847080986299</v>
      </c>
      <c r="I17" s="337">
        <f t="shared" si="2"/>
        <v>-1071.0229090346841</v>
      </c>
      <c r="J17" s="337">
        <f t="shared" si="13"/>
        <v>-1805.8420000000001</v>
      </c>
      <c r="K17" s="337">
        <f t="shared" si="5"/>
        <v>-242.18</v>
      </c>
      <c r="L17" s="337">
        <f t="shared" si="17"/>
        <v>0</v>
      </c>
      <c r="M17" s="337">
        <f t="shared" si="17"/>
        <v>0</v>
      </c>
      <c r="N17" s="337">
        <f t="shared" si="17"/>
        <v>0</v>
      </c>
      <c r="O17" s="337">
        <f t="shared" si="17"/>
        <v>0</v>
      </c>
      <c r="P17" s="337">
        <f t="shared" si="17"/>
        <v>0</v>
      </c>
      <c r="Q17" s="337">
        <f t="shared" si="17"/>
        <v>0</v>
      </c>
      <c r="R17" s="337">
        <f t="shared" si="17"/>
        <v>0</v>
      </c>
      <c r="S17" s="337">
        <f t="shared" si="17"/>
        <v>0</v>
      </c>
      <c r="T17" s="337">
        <f t="shared" si="17"/>
        <v>0</v>
      </c>
      <c r="U17" s="337">
        <f t="shared" si="17"/>
        <v>0</v>
      </c>
      <c r="V17" s="337">
        <f t="shared" si="17"/>
        <v>0</v>
      </c>
      <c r="W17" s="337">
        <f t="shared" si="17"/>
        <v>0</v>
      </c>
      <c r="X17" s="337">
        <f t="shared" si="17"/>
        <v>0</v>
      </c>
      <c r="Y17" s="337">
        <f t="shared" si="17"/>
        <v>0</v>
      </c>
      <c r="Z17" s="337">
        <f t="shared" si="17"/>
        <v>-33.832074319331127</v>
      </c>
      <c r="AA17" s="337">
        <f t="shared" si="17"/>
        <v>1.0779322019883182</v>
      </c>
      <c r="AB17" s="337">
        <f t="shared" si="17"/>
        <v>-1.6932269175118222</v>
      </c>
      <c r="AC17" s="337">
        <f t="shared" si="17"/>
        <v>-5.7621405888127413</v>
      </c>
      <c r="AD17" s="337">
        <f t="shared" si="17"/>
        <v>0</v>
      </c>
      <c r="AE17" s="337">
        <f t="shared" si="17"/>
        <v>-2.2912494213426555</v>
      </c>
      <c r="AF17" s="337">
        <f t="shared" si="17"/>
        <v>0</v>
      </c>
      <c r="AG17" s="337">
        <f t="shared" si="17"/>
        <v>-16.989352080289336</v>
      </c>
      <c r="AH17" s="337">
        <f t="shared" si="17"/>
        <v>-21.2956386239739</v>
      </c>
      <c r="AI17" s="337">
        <f t="shared" ref="AI17:AQ17" si="18">+AI13-AI9</f>
        <v>13.73634152576966</v>
      </c>
      <c r="AJ17" s="337">
        <v>6.0403408690763456</v>
      </c>
      <c r="AK17" s="337">
        <v>-18.296068039407423</v>
      </c>
      <c r="AL17" s="337">
        <v>-8.0740535220020888</v>
      </c>
      <c r="AM17" s="337">
        <v>-50.375870445670571</v>
      </c>
      <c r="AN17" s="337">
        <v>-16.379553481667983</v>
      </c>
      <c r="AO17" s="337">
        <v>7.1744438019077279</v>
      </c>
      <c r="AP17" s="337">
        <v>-13.108631599980981</v>
      </c>
      <c r="AQ17" s="337">
        <f t="shared" si="18"/>
        <v>-5.1504292136251024</v>
      </c>
      <c r="AR17" s="337">
        <v>-38.303464399443328</v>
      </c>
      <c r="AS17" s="337">
        <v>5.8875638181477825</v>
      </c>
      <c r="AT17" s="337">
        <v>-2.2830154755623511</v>
      </c>
      <c r="AU17" s="337">
        <v>-44.233947912910253</v>
      </c>
      <c r="AV17" s="337">
        <v>-4.020297918804431</v>
      </c>
      <c r="AW17" s="337">
        <v>-137.21462818147302</v>
      </c>
      <c r="AX17" s="361">
        <v>-232.62397324061834</v>
      </c>
      <c r="AY17" s="361">
        <v>-85.349000000000018</v>
      </c>
      <c r="AZ17" s="361">
        <v>-262.92972259758182</v>
      </c>
      <c r="BA17" s="361">
        <v>-118.08842729246138</v>
      </c>
      <c r="BB17" s="361">
        <v>-110.33562793444547</v>
      </c>
      <c r="BC17" s="361">
        <v>-41.528367899531446</v>
      </c>
      <c r="BD17" s="361">
        <v>-123.88200000000002</v>
      </c>
      <c r="BE17" s="361">
        <v>-271.17500000000001</v>
      </c>
      <c r="BF17" s="361">
        <v>-245.30400000000003</v>
      </c>
      <c r="BG17" s="361">
        <v>-174.64299999999997</v>
      </c>
      <c r="BH17" s="361">
        <v>-248.43299999999996</v>
      </c>
      <c r="BI17" s="361">
        <v>47.824000000000012</v>
      </c>
      <c r="BJ17" s="361">
        <v>19.91799999999995</v>
      </c>
      <c r="BK17" s="361">
        <v>-127.06400000000002</v>
      </c>
      <c r="BL17" s="361">
        <v>-221.69999999999996</v>
      </c>
      <c r="BM17" s="361">
        <v>126.66200000000002</v>
      </c>
      <c r="BN17" s="361">
        <v>-190.65199999999999</v>
      </c>
      <c r="BO17" s="361">
        <v>-155.21299999999994</v>
      </c>
      <c r="BP17" s="361">
        <v>-77.725999999999985</v>
      </c>
      <c r="BQ17" s="361">
        <v>-50.09699999999998</v>
      </c>
      <c r="BR17" s="361">
        <v>-16.86099999999999</v>
      </c>
      <c r="BS17" s="361">
        <v>-4.9039999999999964</v>
      </c>
      <c r="BT17" s="337">
        <f>+'5.26'!F17</f>
        <v>-92.592000000000027</v>
      </c>
    </row>
    <row r="18" spans="2:72" ht="15.6" customHeight="1">
      <c r="B18" s="429"/>
      <c r="C18" s="429"/>
      <c r="D18" s="359" t="s">
        <v>15</v>
      </c>
      <c r="E18" s="360" t="s">
        <v>3</v>
      </c>
      <c r="F18" s="337">
        <f t="shared" ref="F18:AH18" si="19">+SUM(F15:F17)</f>
        <v>-9117.9175762809718</v>
      </c>
      <c r="G18" s="337">
        <f t="shared" si="19"/>
        <v>-3217.0089183720397</v>
      </c>
      <c r="H18" s="337">
        <f t="shared" si="19"/>
        <v>-3185.1730768839279</v>
      </c>
      <c r="I18" s="337">
        <f t="shared" si="2"/>
        <v>-6572.9609084121785</v>
      </c>
      <c r="J18" s="337">
        <f t="shared" si="13"/>
        <v>-15052.731523605291</v>
      </c>
      <c r="K18" s="337">
        <f t="shared" si="5"/>
        <v>-3678.4780000000001</v>
      </c>
      <c r="L18" s="337">
        <f t="shared" si="19"/>
        <v>-2736.7491051029165</v>
      </c>
      <c r="M18" s="337">
        <f t="shared" si="19"/>
        <v>-310.37645021506739</v>
      </c>
      <c r="N18" s="337">
        <f t="shared" si="19"/>
        <v>-1019.9869005508322</v>
      </c>
      <c r="O18" s="337">
        <f t="shared" si="19"/>
        <v>-1038.8270720071932</v>
      </c>
      <c r="P18" s="337">
        <f t="shared" si="19"/>
        <v>-725.44702506765088</v>
      </c>
      <c r="Q18" s="337">
        <f t="shared" si="19"/>
        <v>-1813.1579425138416</v>
      </c>
      <c r="R18" s="337">
        <f t="shared" si="19"/>
        <v>-674.00404326558009</v>
      </c>
      <c r="S18" s="337">
        <f t="shared" si="19"/>
        <v>-799.36903755788944</v>
      </c>
      <c r="T18" s="337">
        <f t="shared" si="19"/>
        <v>-542.73943223922197</v>
      </c>
      <c r="U18" s="337">
        <f t="shared" si="19"/>
        <v>-273.85842398410091</v>
      </c>
      <c r="V18" s="337">
        <f t="shared" si="19"/>
        <v>-72.024967706996449</v>
      </c>
      <c r="W18" s="337">
        <f t="shared" si="19"/>
        <v>-139.73899064207217</v>
      </c>
      <c r="X18" s="337">
        <f t="shared" si="19"/>
        <v>-165.90279803486874</v>
      </c>
      <c r="Y18" s="337">
        <f t="shared" si="19"/>
        <v>98.805119867678513</v>
      </c>
      <c r="Z18" s="337">
        <f t="shared" si="19"/>
        <v>-322.20575183139215</v>
      </c>
      <c r="AA18" s="337">
        <f t="shared" si="19"/>
        <v>-158.41364304444701</v>
      </c>
      <c r="AB18" s="337">
        <f t="shared" si="19"/>
        <v>-247.49316814213813</v>
      </c>
      <c r="AC18" s="337">
        <f t="shared" si="19"/>
        <v>-486.28534735847245</v>
      </c>
      <c r="AD18" s="337">
        <f t="shared" si="19"/>
        <v>-608.31279951509168</v>
      </c>
      <c r="AE18" s="337">
        <f t="shared" si="19"/>
        <v>-298.83871574092768</v>
      </c>
      <c r="AF18" s="337">
        <f t="shared" si="19"/>
        <v>-136.7702086695117</v>
      </c>
      <c r="AG18" s="337">
        <f t="shared" si="19"/>
        <v>19.803298795511182</v>
      </c>
      <c r="AH18" s="337">
        <f t="shared" si="19"/>
        <v>239.18654819806625</v>
      </c>
      <c r="AI18" s="337">
        <f t="shared" ref="AI18:AQ18" si="20">+SUM(AI15:AI17)</f>
        <v>-477.50121548645114</v>
      </c>
      <c r="AJ18" s="337">
        <v>-311.02475705260366</v>
      </c>
      <c r="AK18" s="337">
        <v>-154.65648401200514</v>
      </c>
      <c r="AL18" s="337">
        <v>-723.72021761468113</v>
      </c>
      <c r="AM18" s="337">
        <v>-301.25722496669533</v>
      </c>
      <c r="AN18" s="337">
        <v>-826.73788513104603</v>
      </c>
      <c r="AO18" s="337">
        <v>-610.10355242285686</v>
      </c>
      <c r="AP18" s="337">
        <v>-118.16145645176744</v>
      </c>
      <c r="AQ18" s="337">
        <f t="shared" si="20"/>
        <v>-105.4359220698941</v>
      </c>
      <c r="AR18" s="337">
        <v>-509.46775314123693</v>
      </c>
      <c r="AS18" s="337">
        <v>-263.24533248396813</v>
      </c>
      <c r="AT18" s="337">
        <v>-425.13141964131364</v>
      </c>
      <c r="AU18" s="337">
        <v>-609.50031815445232</v>
      </c>
      <c r="AV18" s="337">
        <v>-183.33217981688119</v>
      </c>
      <c r="AW18" s="337">
        <v>-623.23614371248277</v>
      </c>
      <c r="AX18" s="361">
        <v>-976.12196815069149</v>
      </c>
      <c r="AY18" s="361">
        <v>-232.82865413581357</v>
      </c>
      <c r="AZ18" s="361">
        <v>-257.08942828115664</v>
      </c>
      <c r="BA18" s="361">
        <v>-540.48147980730153</v>
      </c>
      <c r="BB18" s="361">
        <v>-868.90823108687948</v>
      </c>
      <c r="BC18" s="361">
        <v>-1083.6180000000008</v>
      </c>
      <c r="BD18" s="361">
        <v>-567.92299999999977</v>
      </c>
      <c r="BE18" s="361">
        <v>-1470.1635236052944</v>
      </c>
      <c r="BF18" s="361">
        <v>-1722.7359999999999</v>
      </c>
      <c r="BG18" s="361">
        <v>-1417.4340000000002</v>
      </c>
      <c r="BH18" s="361">
        <v>-768.928</v>
      </c>
      <c r="BI18" s="361">
        <v>-603.0060000000002</v>
      </c>
      <c r="BJ18" s="361">
        <v>-449.96000000000043</v>
      </c>
      <c r="BK18" s="361">
        <v>-1199.1899999999998</v>
      </c>
      <c r="BL18" s="361">
        <v>-1373.8470000000002</v>
      </c>
      <c r="BM18" s="361">
        <v>-439.67600000000004</v>
      </c>
      <c r="BN18" s="361">
        <v>-1217.1510000000001</v>
      </c>
      <c r="BO18" s="361">
        <v>-144.23900000000015</v>
      </c>
      <c r="BP18" s="361">
        <v>-1076.8010000000004</v>
      </c>
      <c r="BQ18" s="361">
        <v>-477.64100000000008</v>
      </c>
      <c r="BR18" s="361">
        <v>-688.91599999999983</v>
      </c>
      <c r="BS18" s="361">
        <v>-554.39</v>
      </c>
      <c r="BT18" s="337">
        <f>+'5.26'!F18</f>
        <v>-880.73</v>
      </c>
    </row>
    <row r="19" spans="2:72" ht="15.6">
      <c r="B19" s="422" t="s">
        <v>55</v>
      </c>
      <c r="C19" s="422" t="s">
        <v>48</v>
      </c>
      <c r="D19" s="440" t="s">
        <v>49</v>
      </c>
      <c r="E19" s="364" t="s">
        <v>50</v>
      </c>
      <c r="F19" s="332">
        <f t="shared" si="0"/>
        <v>552</v>
      </c>
      <c r="G19" s="332">
        <f t="shared" si="1"/>
        <v>498</v>
      </c>
      <c r="H19" s="332">
        <f t="shared" ref="H19:H30" si="21">+SUM(AF19:AQ19)</f>
        <v>404</v>
      </c>
      <c r="I19" s="332">
        <f t="shared" si="2"/>
        <v>427</v>
      </c>
      <c r="J19" s="332">
        <f t="shared" si="13"/>
        <v>507</v>
      </c>
      <c r="K19" s="332">
        <f t="shared" si="5"/>
        <v>137</v>
      </c>
      <c r="L19" s="333">
        <v>3</v>
      </c>
      <c r="M19" s="334">
        <v>90</v>
      </c>
      <c r="N19" s="334">
        <v>79</v>
      </c>
      <c r="O19" s="334">
        <v>80</v>
      </c>
      <c r="P19" s="334">
        <v>72</v>
      </c>
      <c r="Q19" s="334">
        <v>96</v>
      </c>
      <c r="R19" s="334">
        <v>68</v>
      </c>
      <c r="S19" s="334">
        <v>64</v>
      </c>
      <c r="T19" s="335">
        <v>63</v>
      </c>
      <c r="U19" s="335">
        <v>56</v>
      </c>
      <c r="V19" s="335">
        <v>58</v>
      </c>
      <c r="W19" s="335">
        <v>74</v>
      </c>
      <c r="X19" s="365">
        <v>51</v>
      </c>
      <c r="Y19" s="365">
        <v>44</v>
      </c>
      <c r="Z19" s="365">
        <v>34</v>
      </c>
      <c r="AA19" s="365">
        <v>41</v>
      </c>
      <c r="AB19" s="365">
        <v>11</v>
      </c>
      <c r="AC19" s="365">
        <v>21</v>
      </c>
      <c r="AD19" s="366">
        <v>20</v>
      </c>
      <c r="AE19" s="366">
        <v>25</v>
      </c>
      <c r="AF19" s="338">
        <v>32</v>
      </c>
      <c r="AG19" s="338">
        <v>8</v>
      </c>
      <c r="AH19" s="338">
        <v>13</v>
      </c>
      <c r="AI19" s="338">
        <v>4</v>
      </c>
      <c r="AJ19" s="337">
        <v>31</v>
      </c>
      <c r="AK19" s="337">
        <v>37</v>
      </c>
      <c r="AL19" s="337">
        <v>33</v>
      </c>
      <c r="AM19" s="337">
        <v>64</v>
      </c>
      <c r="AN19" s="337">
        <v>61</v>
      </c>
      <c r="AO19" s="337">
        <v>53</v>
      </c>
      <c r="AP19" s="337">
        <v>37</v>
      </c>
      <c r="AQ19" s="337">
        <v>31</v>
      </c>
      <c r="AR19" s="338">
        <v>49</v>
      </c>
      <c r="AS19" s="338">
        <v>49</v>
      </c>
      <c r="AT19" s="338">
        <v>62</v>
      </c>
      <c r="AU19" s="338">
        <v>30</v>
      </c>
      <c r="AV19" s="338">
        <v>26</v>
      </c>
      <c r="AW19" s="337">
        <v>23</v>
      </c>
      <c r="AX19" s="361">
        <v>24</v>
      </c>
      <c r="AY19" s="361">
        <v>22</v>
      </c>
      <c r="AZ19" s="361">
        <v>15</v>
      </c>
      <c r="BA19" s="361">
        <v>49</v>
      </c>
      <c r="BB19" s="361">
        <v>29</v>
      </c>
      <c r="BC19" s="361">
        <v>49</v>
      </c>
      <c r="BD19" s="361">
        <v>9</v>
      </c>
      <c r="BE19" s="361">
        <v>42</v>
      </c>
      <c r="BF19" s="361">
        <v>42</v>
      </c>
      <c r="BG19" s="361">
        <v>53</v>
      </c>
      <c r="BH19" s="361">
        <v>36</v>
      </c>
      <c r="BI19" s="361">
        <v>25</v>
      </c>
      <c r="BJ19" s="361">
        <v>35</v>
      </c>
      <c r="BK19" s="361">
        <v>25</v>
      </c>
      <c r="BL19" s="361">
        <v>17</v>
      </c>
      <c r="BM19" s="361">
        <v>37</v>
      </c>
      <c r="BN19" s="361">
        <v>20</v>
      </c>
      <c r="BO19" s="361">
        <v>29</v>
      </c>
      <c r="BP19" s="361">
        <v>51</v>
      </c>
      <c r="BQ19" s="361">
        <v>20</v>
      </c>
      <c r="BR19" s="361">
        <v>10</v>
      </c>
      <c r="BS19" s="361">
        <v>15</v>
      </c>
      <c r="BT19" s="337">
        <f>+'5.26'!F19</f>
        <v>41</v>
      </c>
    </row>
    <row r="20" spans="2:72" ht="15.6">
      <c r="B20" s="422"/>
      <c r="C20" s="422"/>
      <c r="D20" s="440"/>
      <c r="E20" s="367" t="s">
        <v>59</v>
      </c>
      <c r="F20" s="332">
        <f t="shared" si="0"/>
        <v>3002.8757725817068</v>
      </c>
      <c r="G20" s="332">
        <f t="shared" si="1"/>
        <v>1827.6666666666667</v>
      </c>
      <c r="H20" s="332">
        <f t="shared" si="21"/>
        <v>1305</v>
      </c>
      <c r="I20" s="332">
        <f t="shared" si="2"/>
        <v>1901</v>
      </c>
      <c r="J20" s="332">
        <f t="shared" si="13"/>
        <v>2477</v>
      </c>
      <c r="K20" s="332">
        <f t="shared" si="5"/>
        <v>635</v>
      </c>
      <c r="L20" s="333">
        <v>79</v>
      </c>
      <c r="M20" s="334">
        <v>51</v>
      </c>
      <c r="N20" s="334">
        <v>278</v>
      </c>
      <c r="O20" s="334">
        <v>666</v>
      </c>
      <c r="P20" s="334">
        <v>333</v>
      </c>
      <c r="Q20" s="334">
        <v>836</v>
      </c>
      <c r="R20" s="334">
        <v>331.70000000000005</v>
      </c>
      <c r="S20" s="334">
        <v>428.17577258170718</v>
      </c>
      <c r="T20" s="335">
        <v>298</v>
      </c>
      <c r="U20" s="335">
        <v>130</v>
      </c>
      <c r="V20" s="335">
        <v>113</v>
      </c>
      <c r="W20" s="335">
        <v>194.66666666666669</v>
      </c>
      <c r="X20" s="365">
        <v>244</v>
      </c>
      <c r="Y20" s="365">
        <v>101</v>
      </c>
      <c r="Z20" s="365">
        <v>134</v>
      </c>
      <c r="AA20" s="365">
        <v>248</v>
      </c>
      <c r="AB20" s="365">
        <v>39</v>
      </c>
      <c r="AC20" s="365">
        <v>95</v>
      </c>
      <c r="AD20" s="368">
        <v>71</v>
      </c>
      <c r="AE20" s="368">
        <v>160</v>
      </c>
      <c r="AF20" s="338">
        <v>82</v>
      </c>
      <c r="AG20" s="338">
        <v>54</v>
      </c>
      <c r="AH20" s="338">
        <v>46</v>
      </c>
      <c r="AI20" s="338">
        <v>15</v>
      </c>
      <c r="AJ20" s="337">
        <v>130</v>
      </c>
      <c r="AK20" s="337">
        <v>111</v>
      </c>
      <c r="AL20" s="337">
        <v>97</v>
      </c>
      <c r="AM20" s="337">
        <v>190</v>
      </c>
      <c r="AN20" s="337">
        <v>186</v>
      </c>
      <c r="AO20" s="337">
        <v>204</v>
      </c>
      <c r="AP20" s="337">
        <v>138</v>
      </c>
      <c r="AQ20" s="337">
        <v>52</v>
      </c>
      <c r="AR20" s="338">
        <v>254</v>
      </c>
      <c r="AS20" s="338">
        <v>245</v>
      </c>
      <c r="AT20" s="338">
        <v>288</v>
      </c>
      <c r="AU20" s="338">
        <v>142</v>
      </c>
      <c r="AV20" s="338">
        <v>97</v>
      </c>
      <c r="AW20" s="337">
        <v>67</v>
      </c>
      <c r="AX20" s="361">
        <v>104</v>
      </c>
      <c r="AY20" s="361">
        <v>124</v>
      </c>
      <c r="AZ20" s="361">
        <v>44</v>
      </c>
      <c r="BA20" s="361">
        <v>245</v>
      </c>
      <c r="BB20" s="361">
        <v>105</v>
      </c>
      <c r="BC20" s="361">
        <v>186</v>
      </c>
      <c r="BD20" s="361">
        <v>40</v>
      </c>
      <c r="BE20" s="361">
        <v>224</v>
      </c>
      <c r="BF20" s="361">
        <v>223</v>
      </c>
      <c r="BG20" s="361">
        <v>216</v>
      </c>
      <c r="BH20" s="361">
        <v>153</v>
      </c>
      <c r="BI20" s="361">
        <v>66</v>
      </c>
      <c r="BJ20" s="361">
        <v>164</v>
      </c>
      <c r="BK20" s="361">
        <v>129</v>
      </c>
      <c r="BL20" s="361">
        <v>79</v>
      </c>
      <c r="BM20" s="361">
        <v>248</v>
      </c>
      <c r="BN20" s="361">
        <v>89</v>
      </c>
      <c r="BO20" s="361">
        <v>211</v>
      </c>
      <c r="BP20" s="361">
        <v>271</v>
      </c>
      <c r="BQ20" s="361">
        <v>67</v>
      </c>
      <c r="BR20" s="361">
        <v>54</v>
      </c>
      <c r="BS20" s="361">
        <v>53</v>
      </c>
      <c r="BT20" s="337">
        <f>+'5.26'!F20</f>
        <v>190</v>
      </c>
    </row>
    <row r="21" spans="2:72" ht="15.6">
      <c r="B21" s="422"/>
      <c r="C21" s="422"/>
      <c r="D21" s="439" t="s">
        <v>51</v>
      </c>
      <c r="E21" s="369" t="s">
        <v>50</v>
      </c>
      <c r="F21" s="332">
        <f t="shared" si="0"/>
        <v>119</v>
      </c>
      <c r="G21" s="332">
        <f t="shared" si="1"/>
        <v>55</v>
      </c>
      <c r="H21" s="332">
        <f t="shared" si="21"/>
        <v>104</v>
      </c>
      <c r="I21" s="332">
        <f t="shared" si="2"/>
        <v>115</v>
      </c>
      <c r="J21" s="332">
        <f t="shared" si="13"/>
        <v>199</v>
      </c>
      <c r="K21" s="332">
        <f t="shared" si="5"/>
        <v>49</v>
      </c>
      <c r="L21" s="333">
        <v>11</v>
      </c>
      <c r="M21" s="334">
        <v>9</v>
      </c>
      <c r="N21" s="334">
        <v>9</v>
      </c>
      <c r="O21" s="334">
        <v>12</v>
      </c>
      <c r="P21" s="334">
        <v>49</v>
      </c>
      <c r="Q21" s="334">
        <v>12</v>
      </c>
      <c r="R21" s="334">
        <v>9</v>
      </c>
      <c r="S21" s="334">
        <v>8</v>
      </c>
      <c r="T21" s="335">
        <v>3</v>
      </c>
      <c r="U21" s="335">
        <v>4</v>
      </c>
      <c r="V21" s="335">
        <v>2</v>
      </c>
      <c r="W21" s="335">
        <v>4</v>
      </c>
      <c r="X21" s="365">
        <v>5</v>
      </c>
      <c r="Y21" s="365">
        <v>2</v>
      </c>
      <c r="Z21" s="365">
        <v>6</v>
      </c>
      <c r="AA21" s="365">
        <v>4</v>
      </c>
      <c r="AB21" s="365">
        <v>6</v>
      </c>
      <c r="AC21" s="365">
        <v>8</v>
      </c>
      <c r="AD21" s="368">
        <v>8</v>
      </c>
      <c r="AE21" s="368">
        <v>3</v>
      </c>
      <c r="AF21" s="338">
        <v>2</v>
      </c>
      <c r="AG21" s="338">
        <v>3</v>
      </c>
      <c r="AH21" s="338">
        <v>6</v>
      </c>
      <c r="AI21" s="338">
        <v>1</v>
      </c>
      <c r="AJ21" s="337">
        <v>20</v>
      </c>
      <c r="AK21" s="337">
        <v>9</v>
      </c>
      <c r="AL21" s="337">
        <v>13</v>
      </c>
      <c r="AM21" s="337">
        <v>9</v>
      </c>
      <c r="AN21" s="337">
        <v>11</v>
      </c>
      <c r="AO21" s="337">
        <v>18</v>
      </c>
      <c r="AP21" s="337">
        <v>5</v>
      </c>
      <c r="AQ21" s="337">
        <v>7</v>
      </c>
      <c r="AR21" s="338">
        <v>6</v>
      </c>
      <c r="AS21" s="338">
        <v>3</v>
      </c>
      <c r="AT21" s="338">
        <v>6</v>
      </c>
      <c r="AU21" s="338">
        <v>18</v>
      </c>
      <c r="AV21" s="338">
        <v>5</v>
      </c>
      <c r="AW21" s="337">
        <v>16</v>
      </c>
      <c r="AX21" s="361">
        <v>16</v>
      </c>
      <c r="AY21" s="361">
        <v>8</v>
      </c>
      <c r="AZ21" s="361">
        <v>5</v>
      </c>
      <c r="BA21" s="361">
        <v>11</v>
      </c>
      <c r="BB21" s="361">
        <v>15</v>
      </c>
      <c r="BC21" s="361">
        <v>6</v>
      </c>
      <c r="BD21" s="361">
        <v>12</v>
      </c>
      <c r="BE21" s="361">
        <v>19</v>
      </c>
      <c r="BF21" s="361">
        <v>23</v>
      </c>
      <c r="BG21" s="361">
        <v>20</v>
      </c>
      <c r="BH21" s="361">
        <v>13</v>
      </c>
      <c r="BI21" s="361">
        <v>9</v>
      </c>
      <c r="BJ21" s="361">
        <v>15</v>
      </c>
      <c r="BK21" s="361">
        <v>4</v>
      </c>
      <c r="BL21" s="361">
        <v>13</v>
      </c>
      <c r="BM21" s="361">
        <v>7</v>
      </c>
      <c r="BN21" s="361">
        <v>8</v>
      </c>
      <c r="BO21" s="361">
        <v>7</v>
      </c>
      <c r="BP21" s="361">
        <v>16</v>
      </c>
      <c r="BQ21" s="361">
        <v>3</v>
      </c>
      <c r="BR21" s="361">
        <v>10</v>
      </c>
      <c r="BS21" s="361">
        <v>10</v>
      </c>
      <c r="BT21" s="337">
        <f>+'5.26'!F21</f>
        <v>10</v>
      </c>
    </row>
    <row r="22" spans="2:72" ht="15.6">
      <c r="B22" s="422"/>
      <c r="C22" s="422"/>
      <c r="D22" s="439"/>
      <c r="E22" s="367" t="s">
        <v>59</v>
      </c>
      <c r="F22" s="332">
        <f t="shared" si="0"/>
        <v>4027.6</v>
      </c>
      <c r="G22" s="332">
        <f t="shared" si="1"/>
        <v>1940</v>
      </c>
      <c r="H22" s="332">
        <f t="shared" si="21"/>
        <v>2718</v>
      </c>
      <c r="I22" s="332">
        <f t="shared" si="2"/>
        <v>4169</v>
      </c>
      <c r="J22" s="332">
        <f t="shared" si="13"/>
        <v>9105</v>
      </c>
      <c r="K22" s="332">
        <f t="shared" si="5"/>
        <v>1826</v>
      </c>
      <c r="L22" s="333">
        <v>424</v>
      </c>
      <c r="M22" s="334">
        <v>734</v>
      </c>
      <c r="N22" s="334">
        <v>553</v>
      </c>
      <c r="O22" s="334">
        <v>514</v>
      </c>
      <c r="P22" s="334">
        <v>425</v>
      </c>
      <c r="Q22" s="334">
        <v>595</v>
      </c>
      <c r="R22" s="334">
        <v>327</v>
      </c>
      <c r="S22" s="334">
        <v>455.6</v>
      </c>
      <c r="T22" s="335">
        <v>153</v>
      </c>
      <c r="U22" s="335">
        <v>145</v>
      </c>
      <c r="V22" s="335">
        <v>181</v>
      </c>
      <c r="W22" s="335">
        <v>121</v>
      </c>
      <c r="X22" s="365">
        <v>127</v>
      </c>
      <c r="Y22" s="365">
        <v>24</v>
      </c>
      <c r="Z22" s="365">
        <v>154</v>
      </c>
      <c r="AA22" s="365">
        <v>51</v>
      </c>
      <c r="AB22" s="365">
        <v>226</v>
      </c>
      <c r="AC22" s="365">
        <v>223</v>
      </c>
      <c r="AD22" s="370">
        <v>471</v>
      </c>
      <c r="AE22" s="370">
        <v>64</v>
      </c>
      <c r="AF22" s="338">
        <v>37</v>
      </c>
      <c r="AG22" s="338">
        <v>69</v>
      </c>
      <c r="AH22" s="338">
        <v>33</v>
      </c>
      <c r="AI22" s="338">
        <v>15</v>
      </c>
      <c r="AJ22" s="337">
        <v>272</v>
      </c>
      <c r="AK22" s="337">
        <v>122</v>
      </c>
      <c r="AL22" s="337">
        <v>701</v>
      </c>
      <c r="AM22" s="337">
        <v>144</v>
      </c>
      <c r="AN22" s="337">
        <v>571</v>
      </c>
      <c r="AO22" s="337">
        <v>476</v>
      </c>
      <c r="AP22" s="337">
        <v>97</v>
      </c>
      <c r="AQ22" s="337">
        <v>181</v>
      </c>
      <c r="AR22" s="338">
        <v>175</v>
      </c>
      <c r="AS22" s="338">
        <v>34</v>
      </c>
      <c r="AT22" s="338">
        <v>235</v>
      </c>
      <c r="AU22" s="338">
        <v>497</v>
      </c>
      <c r="AV22" s="338">
        <v>95</v>
      </c>
      <c r="AW22" s="337">
        <v>664</v>
      </c>
      <c r="AX22" s="361">
        <v>823</v>
      </c>
      <c r="AY22" s="361">
        <v>182</v>
      </c>
      <c r="AZ22" s="361">
        <v>295</v>
      </c>
      <c r="BA22" s="361">
        <v>263</v>
      </c>
      <c r="BB22" s="361">
        <v>487</v>
      </c>
      <c r="BC22" s="361">
        <v>419</v>
      </c>
      <c r="BD22" s="361">
        <v>424</v>
      </c>
      <c r="BE22" s="361">
        <v>606</v>
      </c>
      <c r="BF22" s="361">
        <v>906</v>
      </c>
      <c r="BG22" s="361">
        <v>456</v>
      </c>
      <c r="BH22" s="361">
        <v>434</v>
      </c>
      <c r="BI22" s="361">
        <v>952</v>
      </c>
      <c r="BJ22" s="361">
        <v>871</v>
      </c>
      <c r="BK22" s="361">
        <v>192</v>
      </c>
      <c r="BL22" s="361">
        <v>987</v>
      </c>
      <c r="BM22" s="361">
        <v>217</v>
      </c>
      <c r="BN22" s="361">
        <v>763</v>
      </c>
      <c r="BO22" s="361">
        <v>471</v>
      </c>
      <c r="BP22" s="361">
        <v>478</v>
      </c>
      <c r="BQ22" s="361">
        <v>65</v>
      </c>
      <c r="BR22" s="361">
        <v>677</v>
      </c>
      <c r="BS22" s="361">
        <v>283</v>
      </c>
      <c r="BT22" s="337">
        <f>+'5.26'!F22</f>
        <v>323</v>
      </c>
    </row>
    <row r="23" spans="2:72" ht="15.6">
      <c r="B23" s="422"/>
      <c r="C23" s="432" t="s">
        <v>52</v>
      </c>
      <c r="D23" s="441" t="s">
        <v>67</v>
      </c>
      <c r="E23" s="369" t="s">
        <v>50</v>
      </c>
      <c r="F23" s="332">
        <f t="shared" si="0"/>
        <v>5</v>
      </c>
      <c r="G23" s="332">
        <f t="shared" si="1"/>
        <v>1</v>
      </c>
      <c r="H23" s="332">
        <f t="shared" si="21"/>
        <v>2</v>
      </c>
      <c r="I23" s="332">
        <f t="shared" si="2"/>
        <v>0</v>
      </c>
      <c r="J23" s="332">
        <f t="shared" si="13"/>
        <v>6</v>
      </c>
      <c r="K23" s="332">
        <f t="shared" si="5"/>
        <v>3</v>
      </c>
      <c r="L23" s="342">
        <v>0</v>
      </c>
      <c r="M23" s="371">
        <v>0</v>
      </c>
      <c r="N23" s="334">
        <v>1</v>
      </c>
      <c r="O23" s="334">
        <v>0</v>
      </c>
      <c r="P23" s="334">
        <v>2</v>
      </c>
      <c r="Q23" s="334">
        <v>0</v>
      </c>
      <c r="R23" s="334">
        <v>1</v>
      </c>
      <c r="S23" s="334">
        <v>1</v>
      </c>
      <c r="T23" s="335">
        <v>0</v>
      </c>
      <c r="U23" s="335">
        <v>0</v>
      </c>
      <c r="V23" s="335">
        <v>0</v>
      </c>
      <c r="W23" s="335">
        <v>1</v>
      </c>
      <c r="X23" s="365">
        <v>0</v>
      </c>
      <c r="Y23" s="365">
        <v>0</v>
      </c>
      <c r="Z23" s="365">
        <v>0</v>
      </c>
      <c r="AA23" s="365">
        <v>0</v>
      </c>
      <c r="AB23" s="365">
        <v>0</v>
      </c>
      <c r="AC23" s="365">
        <v>0</v>
      </c>
      <c r="AD23" s="368">
        <v>0</v>
      </c>
      <c r="AE23" s="368">
        <v>0</v>
      </c>
      <c r="AF23" s="338">
        <v>0</v>
      </c>
      <c r="AG23" s="338">
        <v>0</v>
      </c>
      <c r="AH23" s="338">
        <v>1</v>
      </c>
      <c r="AI23" s="338">
        <v>0</v>
      </c>
      <c r="AJ23" s="337">
        <v>1</v>
      </c>
      <c r="AK23" s="337">
        <v>0</v>
      </c>
      <c r="AL23" s="337">
        <v>0</v>
      </c>
      <c r="AM23" s="337">
        <v>0</v>
      </c>
      <c r="AN23" s="337">
        <v>0</v>
      </c>
      <c r="AO23" s="337">
        <v>0</v>
      </c>
      <c r="AP23" s="337">
        <v>0</v>
      </c>
      <c r="AQ23" s="337">
        <v>0</v>
      </c>
      <c r="AR23" s="338">
        <v>0</v>
      </c>
      <c r="AS23" s="338">
        <v>0</v>
      </c>
      <c r="AT23" s="338">
        <v>0</v>
      </c>
      <c r="AU23" s="338">
        <v>0</v>
      </c>
      <c r="AV23" s="338">
        <v>0</v>
      </c>
      <c r="AW23" s="337">
        <v>0</v>
      </c>
      <c r="AX23" s="361">
        <v>0</v>
      </c>
      <c r="AY23" s="361">
        <v>0</v>
      </c>
      <c r="AZ23" s="361">
        <v>0</v>
      </c>
      <c r="BA23" s="361">
        <v>0</v>
      </c>
      <c r="BB23" s="361">
        <v>0</v>
      </c>
      <c r="BC23" s="361">
        <v>0</v>
      </c>
      <c r="BD23" s="361">
        <v>0</v>
      </c>
      <c r="BE23" s="361">
        <v>0</v>
      </c>
      <c r="BF23" s="361">
        <v>1</v>
      </c>
      <c r="BG23" s="361">
        <v>1</v>
      </c>
      <c r="BH23" s="361">
        <v>0</v>
      </c>
      <c r="BI23" s="361">
        <v>0</v>
      </c>
      <c r="BJ23" s="361">
        <v>0</v>
      </c>
      <c r="BK23" s="361">
        <v>0</v>
      </c>
      <c r="BL23" s="361">
        <v>0</v>
      </c>
      <c r="BM23" s="361">
        <v>0</v>
      </c>
      <c r="BN23" s="361">
        <v>0</v>
      </c>
      <c r="BO23" s="361">
        <v>1</v>
      </c>
      <c r="BP23" s="361">
        <v>0</v>
      </c>
      <c r="BQ23" s="361">
        <v>0</v>
      </c>
      <c r="BR23" s="361">
        <v>1</v>
      </c>
      <c r="BS23" s="361">
        <v>0</v>
      </c>
      <c r="BT23" s="337">
        <f>+'5.26'!F23</f>
        <v>2</v>
      </c>
    </row>
    <row r="24" spans="2:72" ht="15.6">
      <c r="B24" s="422"/>
      <c r="C24" s="432"/>
      <c r="D24" s="441"/>
      <c r="E24" s="367" t="s">
        <v>59</v>
      </c>
      <c r="F24" s="332">
        <f t="shared" si="0"/>
        <v>343.9</v>
      </c>
      <c r="G24" s="332">
        <f t="shared" si="1"/>
        <v>75</v>
      </c>
      <c r="H24" s="332">
        <f t="shared" si="21"/>
        <v>30</v>
      </c>
      <c r="I24" s="332">
        <f t="shared" si="2"/>
        <v>0</v>
      </c>
      <c r="J24" s="332">
        <f t="shared" si="13"/>
        <v>451</v>
      </c>
      <c r="K24" s="332">
        <f t="shared" si="5"/>
        <v>120</v>
      </c>
      <c r="L24" s="342">
        <v>0</v>
      </c>
      <c r="M24" s="371">
        <v>0</v>
      </c>
      <c r="N24" s="334">
        <v>260</v>
      </c>
      <c r="O24" s="334">
        <v>0</v>
      </c>
      <c r="P24" s="334">
        <v>30</v>
      </c>
      <c r="Q24" s="334">
        <v>0</v>
      </c>
      <c r="R24" s="334">
        <v>17.899999999999999</v>
      </c>
      <c r="S24" s="334">
        <v>36</v>
      </c>
      <c r="T24" s="335">
        <v>0</v>
      </c>
      <c r="U24" s="335">
        <v>0</v>
      </c>
      <c r="V24" s="335">
        <v>0</v>
      </c>
      <c r="W24" s="335">
        <v>70</v>
      </c>
      <c r="X24" s="365">
        <v>0</v>
      </c>
      <c r="Y24" s="365">
        <v>0</v>
      </c>
      <c r="Z24" s="365">
        <v>5</v>
      </c>
      <c r="AA24" s="365">
        <v>0</v>
      </c>
      <c r="AB24" s="365">
        <v>0</v>
      </c>
      <c r="AC24" s="365">
        <v>0</v>
      </c>
      <c r="AD24" s="370">
        <v>0</v>
      </c>
      <c r="AE24" s="370">
        <v>0</v>
      </c>
      <c r="AF24" s="338">
        <v>0</v>
      </c>
      <c r="AG24" s="338">
        <v>0</v>
      </c>
      <c r="AH24" s="338">
        <v>10</v>
      </c>
      <c r="AI24" s="338">
        <v>0</v>
      </c>
      <c r="AJ24" s="337">
        <v>20</v>
      </c>
      <c r="AK24" s="337">
        <v>0</v>
      </c>
      <c r="AL24" s="337">
        <v>0</v>
      </c>
      <c r="AM24" s="337">
        <v>0</v>
      </c>
      <c r="AN24" s="337">
        <v>0</v>
      </c>
      <c r="AO24" s="337">
        <v>0</v>
      </c>
      <c r="AP24" s="337">
        <v>0</v>
      </c>
      <c r="AQ24" s="337">
        <v>0</v>
      </c>
      <c r="AR24" s="338">
        <v>0</v>
      </c>
      <c r="AS24" s="338">
        <v>0</v>
      </c>
      <c r="AT24" s="338">
        <v>0</v>
      </c>
      <c r="AU24" s="338">
        <v>0</v>
      </c>
      <c r="AV24" s="338">
        <v>0</v>
      </c>
      <c r="AW24" s="337">
        <v>0</v>
      </c>
      <c r="AX24" s="361">
        <v>0</v>
      </c>
      <c r="AY24" s="361">
        <v>0</v>
      </c>
      <c r="AZ24" s="361">
        <v>0</v>
      </c>
      <c r="BA24" s="361">
        <v>0</v>
      </c>
      <c r="BB24" s="361">
        <v>0</v>
      </c>
      <c r="BC24" s="361">
        <v>0</v>
      </c>
      <c r="BD24" s="361">
        <v>0</v>
      </c>
      <c r="BE24" s="361">
        <v>0</v>
      </c>
      <c r="BF24" s="361">
        <v>60</v>
      </c>
      <c r="BG24" s="361">
        <v>240</v>
      </c>
      <c r="BH24" s="361">
        <v>0</v>
      </c>
      <c r="BI24" s="361">
        <v>0</v>
      </c>
      <c r="BJ24" s="361">
        <v>0</v>
      </c>
      <c r="BK24" s="361">
        <v>0</v>
      </c>
      <c r="BL24" s="361">
        <v>0</v>
      </c>
      <c r="BM24" s="361">
        <v>0</v>
      </c>
      <c r="BN24" s="361">
        <v>0</v>
      </c>
      <c r="BO24" s="361">
        <v>31</v>
      </c>
      <c r="BP24" s="361">
        <v>0</v>
      </c>
      <c r="BQ24" s="361">
        <v>0</v>
      </c>
      <c r="BR24" s="361">
        <v>20</v>
      </c>
      <c r="BS24" s="361">
        <v>0</v>
      </c>
      <c r="BT24" s="337">
        <f>+'5.26'!F24</f>
        <v>100</v>
      </c>
    </row>
    <row r="25" spans="2:72" ht="15.6">
      <c r="B25" s="422"/>
      <c r="C25" s="430" t="s">
        <v>54</v>
      </c>
      <c r="D25" s="431" t="s">
        <v>53</v>
      </c>
      <c r="E25" s="369" t="s">
        <v>50</v>
      </c>
      <c r="F25" s="332">
        <f t="shared" si="0"/>
        <v>8</v>
      </c>
      <c r="G25" s="332">
        <f t="shared" si="1"/>
        <v>78</v>
      </c>
      <c r="H25" s="332">
        <f t="shared" si="21"/>
        <v>22</v>
      </c>
      <c r="I25" s="332">
        <f t="shared" si="2"/>
        <v>21</v>
      </c>
      <c r="J25" s="332">
        <f t="shared" si="13"/>
        <v>206</v>
      </c>
      <c r="K25" s="332">
        <f t="shared" si="5"/>
        <v>77</v>
      </c>
      <c r="L25" s="342">
        <v>0</v>
      </c>
      <c r="M25" s="371">
        <v>0</v>
      </c>
      <c r="N25" s="334">
        <v>1</v>
      </c>
      <c r="O25" s="334">
        <v>0</v>
      </c>
      <c r="P25" s="334">
        <v>0</v>
      </c>
      <c r="Q25" s="334">
        <v>0</v>
      </c>
      <c r="R25" s="334">
        <v>2</v>
      </c>
      <c r="S25" s="334">
        <v>5</v>
      </c>
      <c r="T25" s="335">
        <v>4</v>
      </c>
      <c r="U25" s="335">
        <v>4</v>
      </c>
      <c r="V25" s="335">
        <v>4</v>
      </c>
      <c r="W25" s="335">
        <v>2</v>
      </c>
      <c r="X25" s="365">
        <v>0</v>
      </c>
      <c r="Y25" s="365">
        <v>0</v>
      </c>
      <c r="Z25" s="365">
        <v>47</v>
      </c>
      <c r="AA25" s="365">
        <v>0</v>
      </c>
      <c r="AB25" s="365">
        <v>2</v>
      </c>
      <c r="AC25" s="365">
        <v>0</v>
      </c>
      <c r="AD25" s="372">
        <v>6</v>
      </c>
      <c r="AE25" s="372">
        <v>9</v>
      </c>
      <c r="AF25" s="338">
        <v>3</v>
      </c>
      <c r="AG25" s="338">
        <v>3</v>
      </c>
      <c r="AH25" s="338">
        <v>0</v>
      </c>
      <c r="AI25" s="338">
        <v>0</v>
      </c>
      <c r="AJ25" s="337">
        <v>2</v>
      </c>
      <c r="AK25" s="337">
        <v>3</v>
      </c>
      <c r="AL25" s="337">
        <v>1</v>
      </c>
      <c r="AM25" s="337">
        <v>7</v>
      </c>
      <c r="AN25" s="337">
        <v>3</v>
      </c>
      <c r="AO25" s="337">
        <v>0</v>
      </c>
      <c r="AP25" s="337">
        <v>0</v>
      </c>
      <c r="AQ25" s="337">
        <v>0</v>
      </c>
      <c r="AR25" s="338">
        <v>0</v>
      </c>
      <c r="AS25" s="338">
        <v>0</v>
      </c>
      <c r="AT25" s="338">
        <v>0</v>
      </c>
      <c r="AU25" s="338">
        <v>0</v>
      </c>
      <c r="AV25" s="338">
        <v>0</v>
      </c>
      <c r="AW25" s="337">
        <v>0</v>
      </c>
      <c r="AX25" s="361">
        <v>0</v>
      </c>
      <c r="AY25" s="361">
        <v>0</v>
      </c>
      <c r="AZ25" s="361">
        <v>0</v>
      </c>
      <c r="BA25" s="361">
        <v>0</v>
      </c>
      <c r="BB25" s="361">
        <v>10</v>
      </c>
      <c r="BC25" s="361">
        <v>11</v>
      </c>
      <c r="BD25" s="361">
        <v>9</v>
      </c>
      <c r="BE25" s="361">
        <v>15</v>
      </c>
      <c r="BF25" s="361">
        <v>18</v>
      </c>
      <c r="BG25" s="361">
        <v>23</v>
      </c>
      <c r="BH25" s="361">
        <v>15</v>
      </c>
      <c r="BI25" s="361">
        <v>3</v>
      </c>
      <c r="BJ25" s="361">
        <v>2</v>
      </c>
      <c r="BK25" s="361">
        <v>2</v>
      </c>
      <c r="BL25" s="361">
        <v>12</v>
      </c>
      <c r="BM25" s="361">
        <v>9</v>
      </c>
      <c r="BN25" s="361">
        <v>14</v>
      </c>
      <c r="BO25" s="361">
        <v>7</v>
      </c>
      <c r="BP25" s="361">
        <v>12</v>
      </c>
      <c r="BQ25" s="361">
        <v>19</v>
      </c>
      <c r="BR25" s="361">
        <v>13</v>
      </c>
      <c r="BS25" s="361">
        <v>18</v>
      </c>
      <c r="BT25" s="337">
        <f>+'5.26'!F25</f>
        <v>15</v>
      </c>
    </row>
    <row r="26" spans="2:72" ht="15.6">
      <c r="B26" s="422"/>
      <c r="C26" s="430"/>
      <c r="D26" s="431"/>
      <c r="E26" s="367" t="s">
        <v>59</v>
      </c>
      <c r="F26" s="332">
        <f t="shared" si="0"/>
        <v>162.73333333333335</v>
      </c>
      <c r="G26" s="332">
        <f t="shared" si="1"/>
        <v>565</v>
      </c>
      <c r="H26" s="332">
        <f t="shared" si="21"/>
        <v>197</v>
      </c>
      <c r="I26" s="332">
        <f t="shared" si="2"/>
        <v>555</v>
      </c>
      <c r="J26" s="332">
        <f t="shared" si="13"/>
        <v>4705</v>
      </c>
      <c r="K26" s="332">
        <f t="shared" si="5"/>
        <v>1480</v>
      </c>
      <c r="L26" s="342">
        <v>0</v>
      </c>
      <c r="M26" s="371">
        <v>0</v>
      </c>
      <c r="N26" s="334">
        <v>10</v>
      </c>
      <c r="O26" s="334">
        <v>0</v>
      </c>
      <c r="P26" s="334">
        <v>0</v>
      </c>
      <c r="Q26" s="334">
        <v>0</v>
      </c>
      <c r="R26" s="334">
        <v>36.799999999999997</v>
      </c>
      <c r="S26" s="334">
        <v>115.93333333333334</v>
      </c>
      <c r="T26" s="335">
        <v>79</v>
      </c>
      <c r="U26" s="335">
        <v>43</v>
      </c>
      <c r="V26" s="335">
        <v>42</v>
      </c>
      <c r="W26" s="335">
        <v>60</v>
      </c>
      <c r="X26" s="365">
        <v>2</v>
      </c>
      <c r="Y26" s="365">
        <v>0</v>
      </c>
      <c r="Z26" s="365">
        <v>33</v>
      </c>
      <c r="AA26" s="365">
        <v>0</v>
      </c>
      <c r="AB26" s="365">
        <v>11</v>
      </c>
      <c r="AC26" s="365">
        <v>0</v>
      </c>
      <c r="AD26" s="370">
        <v>101</v>
      </c>
      <c r="AE26" s="370">
        <v>194</v>
      </c>
      <c r="AF26" s="338">
        <v>50</v>
      </c>
      <c r="AG26" s="338">
        <v>25</v>
      </c>
      <c r="AH26" s="338">
        <v>0</v>
      </c>
      <c r="AI26" s="338">
        <v>0</v>
      </c>
      <c r="AJ26" s="337">
        <v>19</v>
      </c>
      <c r="AK26" s="337">
        <v>23</v>
      </c>
      <c r="AL26" s="337">
        <v>4</v>
      </c>
      <c r="AM26" s="337">
        <v>44</v>
      </c>
      <c r="AN26" s="337">
        <v>32</v>
      </c>
      <c r="AO26" s="337">
        <v>0</v>
      </c>
      <c r="AP26" s="337">
        <v>0</v>
      </c>
      <c r="AQ26" s="337">
        <v>0</v>
      </c>
      <c r="AR26" s="338">
        <v>0</v>
      </c>
      <c r="AS26" s="338">
        <v>0</v>
      </c>
      <c r="AT26" s="338">
        <v>0</v>
      </c>
      <c r="AU26" s="338">
        <v>0</v>
      </c>
      <c r="AV26" s="338">
        <v>0</v>
      </c>
      <c r="AW26" s="337">
        <v>0</v>
      </c>
      <c r="AX26" s="361">
        <v>0</v>
      </c>
      <c r="AY26" s="361">
        <v>0</v>
      </c>
      <c r="AZ26" s="361">
        <v>0</v>
      </c>
      <c r="BA26" s="361">
        <v>0</v>
      </c>
      <c r="BB26" s="361">
        <v>290</v>
      </c>
      <c r="BC26" s="361">
        <v>265</v>
      </c>
      <c r="BD26" s="361">
        <v>226</v>
      </c>
      <c r="BE26" s="361">
        <v>575</v>
      </c>
      <c r="BF26" s="361">
        <v>533</v>
      </c>
      <c r="BG26" s="361">
        <v>506</v>
      </c>
      <c r="BH26" s="361">
        <v>434</v>
      </c>
      <c r="BI26" s="361">
        <v>46</v>
      </c>
      <c r="BJ26" s="361">
        <v>35</v>
      </c>
      <c r="BK26" s="361">
        <v>75</v>
      </c>
      <c r="BL26" s="361">
        <v>230</v>
      </c>
      <c r="BM26" s="361">
        <v>151</v>
      </c>
      <c r="BN26" s="361">
        <v>325</v>
      </c>
      <c r="BO26" s="361">
        <v>89</v>
      </c>
      <c r="BP26" s="361">
        <v>315</v>
      </c>
      <c r="BQ26" s="361">
        <v>437</v>
      </c>
      <c r="BR26" s="361">
        <v>259</v>
      </c>
      <c r="BS26" s="361">
        <v>212</v>
      </c>
      <c r="BT26" s="337">
        <f>+'5.26'!F26</f>
        <v>257</v>
      </c>
    </row>
    <row r="27" spans="2:72" ht="15.6">
      <c r="B27" s="422"/>
      <c r="C27" s="432" t="s">
        <v>57</v>
      </c>
      <c r="D27" s="423" t="s">
        <v>56</v>
      </c>
      <c r="E27" s="369" t="s">
        <v>50</v>
      </c>
      <c r="F27" s="332">
        <f t="shared" si="0"/>
        <v>0</v>
      </c>
      <c r="G27" s="332">
        <f t="shared" si="1"/>
        <v>21</v>
      </c>
      <c r="H27" s="332">
        <f t="shared" si="21"/>
        <v>1</v>
      </c>
      <c r="I27" s="332">
        <f t="shared" si="2"/>
        <v>0</v>
      </c>
      <c r="J27" s="332">
        <f t="shared" si="13"/>
        <v>4</v>
      </c>
      <c r="K27" s="332">
        <f t="shared" si="5"/>
        <v>0</v>
      </c>
      <c r="L27" s="342">
        <v>0</v>
      </c>
      <c r="M27" s="371">
        <v>0</v>
      </c>
      <c r="N27" s="334">
        <v>0</v>
      </c>
      <c r="O27" s="334">
        <v>0</v>
      </c>
      <c r="P27" s="334">
        <v>0</v>
      </c>
      <c r="Q27" s="334">
        <v>0</v>
      </c>
      <c r="R27" s="334">
        <v>0</v>
      </c>
      <c r="S27" s="334">
        <v>0</v>
      </c>
      <c r="T27" s="335">
        <v>0</v>
      </c>
      <c r="U27" s="335">
        <v>0</v>
      </c>
      <c r="V27" s="335">
        <v>0</v>
      </c>
      <c r="W27" s="335">
        <v>0</v>
      </c>
      <c r="X27" s="365">
        <v>17</v>
      </c>
      <c r="Y27" s="365">
        <v>0</v>
      </c>
      <c r="Z27" s="365">
        <v>1</v>
      </c>
      <c r="AA27" s="365">
        <v>0</v>
      </c>
      <c r="AB27" s="365">
        <v>1</v>
      </c>
      <c r="AC27" s="365">
        <v>0</v>
      </c>
      <c r="AD27" s="372">
        <v>2</v>
      </c>
      <c r="AE27" s="372">
        <v>0</v>
      </c>
      <c r="AF27" s="338">
        <v>0</v>
      </c>
      <c r="AG27" s="338">
        <v>0</v>
      </c>
      <c r="AH27" s="338">
        <v>0</v>
      </c>
      <c r="AI27" s="338">
        <v>0</v>
      </c>
      <c r="AJ27" s="337">
        <v>0</v>
      </c>
      <c r="AK27" s="337">
        <v>0</v>
      </c>
      <c r="AL27" s="337">
        <v>0</v>
      </c>
      <c r="AM27" s="337">
        <v>1</v>
      </c>
      <c r="AN27" s="337">
        <v>0</v>
      </c>
      <c r="AO27" s="337">
        <v>0</v>
      </c>
      <c r="AP27" s="337">
        <v>0</v>
      </c>
      <c r="AQ27" s="337">
        <v>0</v>
      </c>
      <c r="AR27" s="338">
        <v>0</v>
      </c>
      <c r="AS27" s="338">
        <v>0</v>
      </c>
      <c r="AT27" s="338">
        <v>0</v>
      </c>
      <c r="AU27" s="338">
        <v>0</v>
      </c>
      <c r="AV27" s="338">
        <v>0</v>
      </c>
      <c r="AW27" s="337">
        <v>0</v>
      </c>
      <c r="AX27" s="361">
        <v>0</v>
      </c>
      <c r="AY27" s="361">
        <v>0</v>
      </c>
      <c r="AZ27" s="361">
        <v>0</v>
      </c>
      <c r="BA27" s="361">
        <v>0</v>
      </c>
      <c r="BB27" s="361">
        <v>0</v>
      </c>
      <c r="BC27" s="361">
        <v>0</v>
      </c>
      <c r="BD27" s="361">
        <v>0</v>
      </c>
      <c r="BE27" s="361">
        <v>3</v>
      </c>
      <c r="BF27" s="361">
        <v>1</v>
      </c>
      <c r="BG27" s="361">
        <v>0</v>
      </c>
      <c r="BH27" s="361">
        <v>0</v>
      </c>
      <c r="BI27" s="361">
        <v>0</v>
      </c>
      <c r="BJ27" s="361">
        <v>0</v>
      </c>
      <c r="BK27" s="361">
        <v>0</v>
      </c>
      <c r="BL27" s="361">
        <v>0</v>
      </c>
      <c r="BM27" s="361">
        <v>0</v>
      </c>
      <c r="BN27" s="361">
        <v>0</v>
      </c>
      <c r="BO27" s="361">
        <v>0</v>
      </c>
      <c r="BP27" s="361">
        <v>0</v>
      </c>
      <c r="BQ27" s="361">
        <v>0</v>
      </c>
      <c r="BR27" s="361">
        <v>0</v>
      </c>
      <c r="BS27" s="361">
        <v>0</v>
      </c>
      <c r="BT27" s="337">
        <f>+'5.26'!F27</f>
        <v>0</v>
      </c>
    </row>
    <row r="28" spans="2:72" ht="15.6">
      <c r="B28" s="422"/>
      <c r="C28" s="432"/>
      <c r="D28" s="423"/>
      <c r="E28" s="367" t="s">
        <v>59</v>
      </c>
      <c r="F28" s="332">
        <f t="shared" si="0"/>
        <v>0</v>
      </c>
      <c r="G28" s="332">
        <f t="shared" si="1"/>
        <v>24</v>
      </c>
      <c r="H28" s="332">
        <f t="shared" si="21"/>
        <v>8</v>
      </c>
      <c r="I28" s="332">
        <f t="shared" si="2"/>
        <v>0</v>
      </c>
      <c r="J28" s="332">
        <f t="shared" si="13"/>
        <v>86</v>
      </c>
      <c r="K28" s="332">
        <f t="shared" si="5"/>
        <v>0</v>
      </c>
      <c r="L28" s="342">
        <v>0</v>
      </c>
      <c r="M28" s="371">
        <v>0</v>
      </c>
      <c r="N28" s="334">
        <v>0</v>
      </c>
      <c r="O28" s="334">
        <v>0</v>
      </c>
      <c r="P28" s="334">
        <v>0</v>
      </c>
      <c r="Q28" s="334">
        <v>0</v>
      </c>
      <c r="R28" s="334">
        <v>0</v>
      </c>
      <c r="S28" s="334">
        <v>0</v>
      </c>
      <c r="T28" s="335">
        <v>0</v>
      </c>
      <c r="U28" s="335">
        <v>0</v>
      </c>
      <c r="V28" s="335">
        <v>0</v>
      </c>
      <c r="W28" s="335">
        <v>0</v>
      </c>
      <c r="X28" s="365">
        <v>0</v>
      </c>
      <c r="Y28" s="365">
        <v>0</v>
      </c>
      <c r="Z28" s="365">
        <v>8</v>
      </c>
      <c r="AA28" s="365">
        <v>0</v>
      </c>
      <c r="AB28" s="365">
        <v>8</v>
      </c>
      <c r="AC28" s="365">
        <v>0</v>
      </c>
      <c r="AD28" s="370">
        <v>8</v>
      </c>
      <c r="AE28" s="370">
        <v>0</v>
      </c>
      <c r="AF28" s="338">
        <v>0</v>
      </c>
      <c r="AG28" s="338">
        <v>0</v>
      </c>
      <c r="AH28" s="338">
        <v>0</v>
      </c>
      <c r="AI28" s="338">
        <v>0</v>
      </c>
      <c r="AJ28" s="337">
        <v>0</v>
      </c>
      <c r="AK28" s="337">
        <v>0</v>
      </c>
      <c r="AL28" s="337">
        <v>0</v>
      </c>
      <c r="AM28" s="337">
        <v>8</v>
      </c>
      <c r="AN28" s="337">
        <v>0</v>
      </c>
      <c r="AO28" s="337">
        <v>0</v>
      </c>
      <c r="AP28" s="337">
        <v>0</v>
      </c>
      <c r="AQ28" s="337">
        <v>0</v>
      </c>
      <c r="AR28" s="338">
        <v>0</v>
      </c>
      <c r="AS28" s="338">
        <v>0</v>
      </c>
      <c r="AT28" s="338">
        <v>0</v>
      </c>
      <c r="AU28" s="338">
        <v>0</v>
      </c>
      <c r="AV28" s="338">
        <v>0</v>
      </c>
      <c r="AW28" s="337">
        <v>0</v>
      </c>
      <c r="AX28" s="361">
        <v>0</v>
      </c>
      <c r="AY28" s="361">
        <v>0</v>
      </c>
      <c r="AZ28" s="361">
        <v>0</v>
      </c>
      <c r="BA28" s="361">
        <v>0</v>
      </c>
      <c r="BB28" s="361">
        <v>0</v>
      </c>
      <c r="BC28" s="361">
        <v>0</v>
      </c>
      <c r="BD28" s="361">
        <v>0</v>
      </c>
      <c r="BE28" s="361">
        <v>66</v>
      </c>
      <c r="BF28" s="361">
        <v>20</v>
      </c>
      <c r="BG28" s="361">
        <v>0</v>
      </c>
      <c r="BH28" s="361">
        <v>0</v>
      </c>
      <c r="BI28" s="361">
        <v>0</v>
      </c>
      <c r="BJ28" s="361">
        <v>0</v>
      </c>
      <c r="BK28" s="361">
        <v>0</v>
      </c>
      <c r="BL28" s="361">
        <v>0</v>
      </c>
      <c r="BM28" s="361">
        <v>0</v>
      </c>
      <c r="BN28" s="361">
        <v>0</v>
      </c>
      <c r="BO28" s="361">
        <v>0</v>
      </c>
      <c r="BP28" s="361">
        <v>0</v>
      </c>
      <c r="BQ28" s="361">
        <v>0</v>
      </c>
      <c r="BR28" s="361">
        <v>0</v>
      </c>
      <c r="BS28" s="361">
        <v>0</v>
      </c>
      <c r="BT28" s="337">
        <f>+'5.26'!F28</f>
        <v>0</v>
      </c>
    </row>
    <row r="29" spans="2:72">
      <c r="B29" s="422"/>
      <c r="C29" s="428" t="s">
        <v>58</v>
      </c>
      <c r="D29" s="442"/>
      <c r="E29" s="373" t="s">
        <v>50</v>
      </c>
      <c r="F29" s="374">
        <f t="shared" si="0"/>
        <v>684</v>
      </c>
      <c r="G29" s="374">
        <f t="shared" si="1"/>
        <v>653</v>
      </c>
      <c r="H29" s="374">
        <f t="shared" si="21"/>
        <v>533</v>
      </c>
      <c r="I29" s="374">
        <f t="shared" si="2"/>
        <v>563</v>
      </c>
      <c r="J29" s="374">
        <f t="shared" si="13"/>
        <v>1019</v>
      </c>
      <c r="K29" s="374">
        <f t="shared" si="5"/>
        <v>266</v>
      </c>
      <c r="L29" s="375">
        <f>+L19+L21+L23+L25+L27</f>
        <v>14</v>
      </c>
      <c r="M29" s="375">
        <f t="shared" ref="M29:AE29" si="22">+M19+M21+M23+M25+M27</f>
        <v>99</v>
      </c>
      <c r="N29" s="375">
        <f t="shared" si="22"/>
        <v>90</v>
      </c>
      <c r="O29" s="375">
        <f t="shared" si="22"/>
        <v>92</v>
      </c>
      <c r="P29" s="375">
        <f t="shared" si="22"/>
        <v>123</v>
      </c>
      <c r="Q29" s="375">
        <f t="shared" si="22"/>
        <v>108</v>
      </c>
      <c r="R29" s="375">
        <f t="shared" si="22"/>
        <v>80</v>
      </c>
      <c r="S29" s="375">
        <f t="shared" si="22"/>
        <v>78</v>
      </c>
      <c r="T29" s="375">
        <f t="shared" si="22"/>
        <v>70</v>
      </c>
      <c r="U29" s="375">
        <f t="shared" si="22"/>
        <v>64</v>
      </c>
      <c r="V29" s="375">
        <f t="shared" si="22"/>
        <v>64</v>
      </c>
      <c r="W29" s="375">
        <f t="shared" si="22"/>
        <v>81</v>
      </c>
      <c r="X29" s="375">
        <f t="shared" si="22"/>
        <v>73</v>
      </c>
      <c r="Y29" s="375">
        <f t="shared" si="22"/>
        <v>46</v>
      </c>
      <c r="Z29" s="375">
        <f t="shared" si="22"/>
        <v>88</v>
      </c>
      <c r="AA29" s="375">
        <f t="shared" si="22"/>
        <v>45</v>
      </c>
      <c r="AB29" s="375">
        <f t="shared" si="22"/>
        <v>20</v>
      </c>
      <c r="AC29" s="375">
        <f t="shared" si="22"/>
        <v>29</v>
      </c>
      <c r="AD29" s="374">
        <f t="shared" si="22"/>
        <v>36</v>
      </c>
      <c r="AE29" s="374">
        <f t="shared" si="22"/>
        <v>37</v>
      </c>
      <c r="AF29" s="374">
        <v>37</v>
      </c>
      <c r="AG29" s="374">
        <v>14</v>
      </c>
      <c r="AH29" s="374">
        <v>20</v>
      </c>
      <c r="AI29" s="374">
        <v>5</v>
      </c>
      <c r="AJ29" s="374">
        <v>54</v>
      </c>
      <c r="AK29" s="374">
        <v>49</v>
      </c>
      <c r="AL29" s="374">
        <v>47</v>
      </c>
      <c r="AM29" s="374">
        <v>81</v>
      </c>
      <c r="AN29" s="374">
        <v>75</v>
      </c>
      <c r="AO29" s="374">
        <v>71</v>
      </c>
      <c r="AP29" s="374">
        <v>42</v>
      </c>
      <c r="AQ29" s="374">
        <v>38</v>
      </c>
      <c r="AR29" s="374">
        <v>55</v>
      </c>
      <c r="AS29" s="374">
        <v>52</v>
      </c>
      <c r="AT29" s="374">
        <v>68</v>
      </c>
      <c r="AU29" s="374">
        <v>48</v>
      </c>
      <c r="AV29" s="374">
        <v>31</v>
      </c>
      <c r="AW29" s="374">
        <v>39</v>
      </c>
      <c r="AX29" s="376">
        <v>40</v>
      </c>
      <c r="AY29" s="376">
        <v>30</v>
      </c>
      <c r="AZ29" s="376">
        <v>20</v>
      </c>
      <c r="BA29" s="376">
        <v>60</v>
      </c>
      <c r="BB29" s="376">
        <v>54</v>
      </c>
      <c r="BC29" s="376">
        <v>66</v>
      </c>
      <c r="BD29" s="376">
        <v>32</v>
      </c>
      <c r="BE29" s="376">
        <v>104</v>
      </c>
      <c r="BF29" s="376">
        <v>133</v>
      </c>
      <c r="BG29" s="376">
        <v>119</v>
      </c>
      <c r="BH29" s="376">
        <v>64</v>
      </c>
      <c r="BI29" s="376">
        <v>37</v>
      </c>
      <c r="BJ29" s="376">
        <v>52</v>
      </c>
      <c r="BK29" s="376">
        <v>31</v>
      </c>
      <c r="BL29" s="376">
        <v>42</v>
      </c>
      <c r="BM29" s="376">
        <v>53</v>
      </c>
      <c r="BN29" s="376">
        <v>42</v>
      </c>
      <c r="BO29" s="376">
        <v>44</v>
      </c>
      <c r="BP29" s="376">
        <v>79</v>
      </c>
      <c r="BQ29" s="376">
        <v>42</v>
      </c>
      <c r="BR29" s="376">
        <v>34</v>
      </c>
      <c r="BS29" s="376">
        <v>43</v>
      </c>
      <c r="BT29" s="374">
        <f>+'5.26'!F29</f>
        <v>68</v>
      </c>
    </row>
    <row r="30" spans="2:72">
      <c r="B30" s="422"/>
      <c r="C30" s="428"/>
      <c r="D30" s="442"/>
      <c r="E30" s="377" t="s">
        <v>59</v>
      </c>
      <c r="F30" s="374">
        <f t="shared" si="0"/>
        <v>7537.1091059150403</v>
      </c>
      <c r="G30" s="374">
        <f t="shared" si="1"/>
        <v>4431.666666666667</v>
      </c>
      <c r="H30" s="374">
        <f t="shared" si="21"/>
        <v>4258</v>
      </c>
      <c r="I30" s="374">
        <f t="shared" si="2"/>
        <v>6561</v>
      </c>
      <c r="J30" s="374">
        <f t="shared" si="13"/>
        <v>16821</v>
      </c>
      <c r="K30" s="374">
        <f t="shared" si="5"/>
        <v>4061</v>
      </c>
      <c r="L30" s="375">
        <f>+L20+L22+L24+L26+L28</f>
        <v>503</v>
      </c>
      <c r="M30" s="375">
        <f t="shared" ref="M30:AE30" si="23">+M20+M22+M24+M26+M28</f>
        <v>785</v>
      </c>
      <c r="N30" s="375">
        <f t="shared" si="23"/>
        <v>1101</v>
      </c>
      <c r="O30" s="375">
        <f t="shared" si="23"/>
        <v>1180</v>
      </c>
      <c r="P30" s="375">
        <f t="shared" si="23"/>
        <v>788</v>
      </c>
      <c r="Q30" s="375">
        <f t="shared" si="23"/>
        <v>1431</v>
      </c>
      <c r="R30" s="375">
        <f t="shared" si="23"/>
        <v>713.4</v>
      </c>
      <c r="S30" s="375">
        <f t="shared" si="23"/>
        <v>1035.7091059150405</v>
      </c>
      <c r="T30" s="375">
        <f t="shared" si="23"/>
        <v>530</v>
      </c>
      <c r="U30" s="375">
        <f t="shared" si="23"/>
        <v>318</v>
      </c>
      <c r="V30" s="375">
        <f t="shared" si="23"/>
        <v>336</v>
      </c>
      <c r="W30" s="375">
        <f t="shared" si="23"/>
        <v>445.66666666666669</v>
      </c>
      <c r="X30" s="375">
        <f t="shared" si="23"/>
        <v>373</v>
      </c>
      <c r="Y30" s="375">
        <f t="shared" si="23"/>
        <v>125</v>
      </c>
      <c r="Z30" s="375">
        <f t="shared" si="23"/>
        <v>334</v>
      </c>
      <c r="AA30" s="375">
        <f t="shared" si="23"/>
        <v>299</v>
      </c>
      <c r="AB30" s="375">
        <f t="shared" si="23"/>
        <v>284</v>
      </c>
      <c r="AC30" s="375">
        <f t="shared" si="23"/>
        <v>318</v>
      </c>
      <c r="AD30" s="374">
        <f t="shared" si="23"/>
        <v>651</v>
      </c>
      <c r="AE30" s="374">
        <f t="shared" si="23"/>
        <v>418</v>
      </c>
      <c r="AF30" s="374">
        <v>169</v>
      </c>
      <c r="AG30" s="374">
        <v>148</v>
      </c>
      <c r="AH30" s="374">
        <v>89</v>
      </c>
      <c r="AI30" s="374">
        <v>30</v>
      </c>
      <c r="AJ30" s="374">
        <v>441</v>
      </c>
      <c r="AK30" s="374">
        <v>256</v>
      </c>
      <c r="AL30" s="374">
        <v>802</v>
      </c>
      <c r="AM30" s="374">
        <v>386</v>
      </c>
      <c r="AN30" s="374">
        <v>789</v>
      </c>
      <c r="AO30" s="374">
        <v>680</v>
      </c>
      <c r="AP30" s="374">
        <v>235</v>
      </c>
      <c r="AQ30" s="374">
        <v>233</v>
      </c>
      <c r="AR30" s="374">
        <v>429</v>
      </c>
      <c r="AS30" s="374">
        <v>260</v>
      </c>
      <c r="AT30" s="374">
        <v>503</v>
      </c>
      <c r="AU30" s="374">
        <v>641</v>
      </c>
      <c r="AV30" s="374">
        <v>184</v>
      </c>
      <c r="AW30" s="374">
        <v>725</v>
      </c>
      <c r="AX30" s="376">
        <v>923</v>
      </c>
      <c r="AY30" s="376">
        <v>306</v>
      </c>
      <c r="AZ30" s="376">
        <v>339</v>
      </c>
      <c r="BA30" s="376">
        <v>499</v>
      </c>
      <c r="BB30" s="376">
        <v>882</v>
      </c>
      <c r="BC30" s="376">
        <v>870</v>
      </c>
      <c r="BD30" s="376">
        <v>690</v>
      </c>
      <c r="BE30" s="376">
        <v>1471</v>
      </c>
      <c r="BF30" s="376">
        <v>1739</v>
      </c>
      <c r="BG30" s="376">
        <v>1418</v>
      </c>
      <c r="BH30" s="376">
        <v>1021</v>
      </c>
      <c r="BI30" s="376">
        <v>1064</v>
      </c>
      <c r="BJ30" s="376">
        <v>1070</v>
      </c>
      <c r="BK30" s="376">
        <v>396</v>
      </c>
      <c r="BL30" s="376">
        <v>1296</v>
      </c>
      <c r="BM30" s="376">
        <v>616</v>
      </c>
      <c r="BN30" s="376">
        <v>1177</v>
      </c>
      <c r="BO30" s="376">
        <v>802</v>
      </c>
      <c r="BP30" s="376">
        <v>1064</v>
      </c>
      <c r="BQ30" s="376">
        <v>569</v>
      </c>
      <c r="BR30" s="376">
        <v>1010</v>
      </c>
      <c r="BS30" s="376">
        <v>548</v>
      </c>
      <c r="BT30" s="374">
        <f>+'5.26'!F30</f>
        <v>870</v>
      </c>
    </row>
    <row r="31" spans="2:72" s="378" customFormat="1" ht="27.6" customHeight="1">
      <c r="B31" s="427" t="s">
        <v>135</v>
      </c>
      <c r="C31" s="427"/>
      <c r="D31" s="427"/>
      <c r="E31" s="319" t="s">
        <v>17</v>
      </c>
      <c r="F31" s="320">
        <f>F14/F10</f>
        <v>0.87871822995238835</v>
      </c>
      <c r="G31" s="320">
        <f t="shared" ref="G31:BT31" si="24">G14/G10</f>
        <v>0.9736703843587442</v>
      </c>
      <c r="H31" s="320">
        <f t="shared" si="24"/>
        <v>0.97492570796540967</v>
      </c>
      <c r="I31" s="320">
        <f t="shared" si="24"/>
        <v>0.94837079989077133</v>
      </c>
      <c r="J31" s="320">
        <f t="shared" si="24"/>
        <v>0.92871680677540758</v>
      </c>
      <c r="K31" s="320">
        <f>K14/K10</f>
        <v>0.94616992756274232</v>
      </c>
      <c r="L31" s="320">
        <f t="shared" si="24"/>
        <v>0.49294362713064954</v>
      </c>
      <c r="M31" s="320">
        <f t="shared" si="24"/>
        <v>0.95649742487953859</v>
      </c>
      <c r="N31" s="320">
        <f t="shared" si="24"/>
        <v>0.88421792780517594</v>
      </c>
      <c r="O31" s="320">
        <f t="shared" si="24"/>
        <v>0.89994686719894845</v>
      </c>
      <c r="P31" s="320">
        <f t="shared" si="24"/>
        <v>0.93028581890593709</v>
      </c>
      <c r="Q31" s="320">
        <f t="shared" si="24"/>
        <v>0.84229488430387145</v>
      </c>
      <c r="R31" s="320">
        <f t="shared" si="24"/>
        <v>0.93866237822081799</v>
      </c>
      <c r="S31" s="320">
        <f t="shared" si="24"/>
        <v>0.92432900355064973</v>
      </c>
      <c r="T31" s="320">
        <f t="shared" si="24"/>
        <v>0.94736314422125179</v>
      </c>
      <c r="U31" s="320">
        <f t="shared" si="24"/>
        <v>0.96756493768689866</v>
      </c>
      <c r="V31" s="320">
        <f>V14/V10</f>
        <v>0.99340618729055374</v>
      </c>
      <c r="W31" s="320">
        <f t="shared" si="24"/>
        <v>0.98724120632905488</v>
      </c>
      <c r="X31" s="320">
        <f t="shared" si="24"/>
        <v>0.98419668543442063</v>
      </c>
      <c r="Y31" s="320">
        <f t="shared" si="24"/>
        <v>1.009616412555052</v>
      </c>
      <c r="Z31" s="320">
        <f t="shared" si="24"/>
        <v>0.97068931822995563</v>
      </c>
      <c r="AA31" s="320">
        <f t="shared" si="24"/>
        <v>0.98490973642695823</v>
      </c>
      <c r="AB31" s="320">
        <f t="shared" si="24"/>
        <v>0.97227146931214958</v>
      </c>
      <c r="AC31" s="320">
        <f t="shared" si="24"/>
        <v>0.95179924382938541</v>
      </c>
      <c r="AD31" s="320">
        <f t="shared" si="24"/>
        <v>0.93843367850181214</v>
      </c>
      <c r="AE31" s="320">
        <f t="shared" si="24"/>
        <v>0.97124976379724814</v>
      </c>
      <c r="AF31" s="320">
        <f t="shared" si="24"/>
        <v>0.98384377051145877</v>
      </c>
      <c r="AG31" s="320">
        <f t="shared" si="24"/>
        <v>1.0020071488604527</v>
      </c>
      <c r="AH31" s="320">
        <f t="shared" si="24"/>
        <v>1.0219366209013887</v>
      </c>
      <c r="AI31" s="320">
        <f t="shared" si="24"/>
        <v>0.94881067894923055</v>
      </c>
      <c r="AJ31" s="320">
        <f t="shared" si="24"/>
        <v>0.97258682201744873</v>
      </c>
      <c r="AK31" s="320">
        <f t="shared" si="24"/>
        <v>0.98560003871092627</v>
      </c>
      <c r="AL31" s="320">
        <f t="shared" si="24"/>
        <v>0.9347897806310157</v>
      </c>
      <c r="AM31" s="320">
        <f t="shared" si="24"/>
        <v>0.99911261888755498</v>
      </c>
      <c r="AN31" s="320">
        <f t="shared" si="24"/>
        <v>0.92601970203341322</v>
      </c>
      <c r="AO31" s="320">
        <f t="shared" si="24"/>
        <v>0.93993934516800226</v>
      </c>
      <c r="AP31" s="320">
        <f t="shared" si="24"/>
        <v>0.98955403253648277</v>
      </c>
      <c r="AQ31" s="320">
        <f t="shared" si="24"/>
        <v>0.99104202333989888</v>
      </c>
      <c r="AR31" s="320">
        <f t="shared" si="24"/>
        <v>0.95554043439992997</v>
      </c>
      <c r="AS31" s="320">
        <f t="shared" si="24"/>
        <v>0.97532550762822345</v>
      </c>
      <c r="AT31" s="320">
        <f t="shared" si="24"/>
        <v>0.96582700729790572</v>
      </c>
      <c r="AU31" s="320">
        <f t="shared" si="24"/>
        <v>0.92956917900853187</v>
      </c>
      <c r="AV31" s="320">
        <f t="shared" si="24"/>
        <v>0.97946799107267679</v>
      </c>
      <c r="AW31" s="320">
        <f t="shared" si="24"/>
        <v>0.94073340487054036</v>
      </c>
      <c r="AX31" s="320">
        <f t="shared" si="24"/>
        <v>0.90805181131507362</v>
      </c>
      <c r="AY31" s="320">
        <f t="shared" si="24"/>
        <v>0.97595138993735375</v>
      </c>
      <c r="AZ31" s="320">
        <f t="shared" si="24"/>
        <v>0.97679255605791127</v>
      </c>
      <c r="BA31" s="320">
        <f t="shared" si="24"/>
        <v>0.954223599442377</v>
      </c>
      <c r="BB31" s="320">
        <f t="shared" si="24"/>
        <v>0.91043343146606781</v>
      </c>
      <c r="BC31" s="320">
        <f t="shared" si="24"/>
        <v>0.90785561224489808</v>
      </c>
      <c r="BD31" s="320">
        <f t="shared" si="24"/>
        <v>0.9569429112964366</v>
      </c>
      <c r="BE31" s="320">
        <f t="shared" si="24"/>
        <v>0.88146859437751013</v>
      </c>
      <c r="BF31" s="320">
        <f t="shared" si="24"/>
        <v>0.86614449612403099</v>
      </c>
      <c r="BG31" s="320">
        <f t="shared" si="24"/>
        <v>0.88372157506152571</v>
      </c>
      <c r="BH31" s="320">
        <f t="shared" si="24"/>
        <v>0.939917529081428</v>
      </c>
      <c r="BI31" s="320">
        <f t="shared" si="24"/>
        <v>0.95318276397515544</v>
      </c>
      <c r="BJ31" s="320">
        <f t="shared" si="24"/>
        <v>0.96785999999999994</v>
      </c>
      <c r="BK31" s="320">
        <f t="shared" si="24"/>
        <v>0.91563908450704212</v>
      </c>
      <c r="BL31" s="320">
        <f t="shared" si="24"/>
        <v>0.90098400000000001</v>
      </c>
      <c r="BM31" s="320">
        <f t="shared" si="24"/>
        <v>0.968139420289855</v>
      </c>
      <c r="BN31" s="320">
        <f t="shared" si="24"/>
        <v>0.90813954716981116</v>
      </c>
      <c r="BO31" s="320">
        <v>0.98984232394366201</v>
      </c>
      <c r="BP31" s="320">
        <v>0.92416894366197189</v>
      </c>
      <c r="BQ31" s="320">
        <v>0.96195611310234952</v>
      </c>
      <c r="BR31" s="320">
        <v>0.95079171428571452</v>
      </c>
      <c r="BS31" s="320">
        <v>0.95917599410898369</v>
      </c>
      <c r="BT31" s="320">
        <f t="shared" si="24"/>
        <v>0.93709071428571433</v>
      </c>
    </row>
  </sheetData>
  <mergeCells count="33">
    <mergeCell ref="B31:D31"/>
    <mergeCell ref="C29:C30"/>
    <mergeCell ref="F2:F3"/>
    <mergeCell ref="B15:B18"/>
    <mergeCell ref="C11:C14"/>
    <mergeCell ref="C15:C18"/>
    <mergeCell ref="C25:C26"/>
    <mergeCell ref="D25:D26"/>
    <mergeCell ref="C27:C28"/>
    <mergeCell ref="B4:C6"/>
    <mergeCell ref="D21:D22"/>
    <mergeCell ref="D19:D20"/>
    <mergeCell ref="B19:B30"/>
    <mergeCell ref="C23:C24"/>
    <mergeCell ref="D23:D24"/>
    <mergeCell ref="D29:D30"/>
    <mergeCell ref="C19:C22"/>
    <mergeCell ref="L2:S2"/>
    <mergeCell ref="D27:D28"/>
    <mergeCell ref="I2:I3"/>
    <mergeCell ref="B2:E3"/>
    <mergeCell ref="B7:B10"/>
    <mergeCell ref="C7:C10"/>
    <mergeCell ref="B11:B14"/>
    <mergeCell ref="BP2:BU2"/>
    <mergeCell ref="AF2:AQ2"/>
    <mergeCell ref="G2:G3"/>
    <mergeCell ref="BJ2:BO2"/>
    <mergeCell ref="AR2:BC2"/>
    <mergeCell ref="T2:AE2"/>
    <mergeCell ref="J2:J3"/>
    <mergeCell ref="K2:K3"/>
    <mergeCell ref="H2:H3"/>
  </mergeCell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FF99"/>
  </sheetPr>
  <dimension ref="A1:BX74"/>
  <sheetViews>
    <sheetView zoomScale="40" zoomScaleNormal="40" zoomScaleSheetLayoutView="40" workbookViewId="0">
      <pane ySplit="8" topLeftCell="A24" activePane="bottomLeft" state="frozen"/>
      <selection activeCell="H1" sqref="H1"/>
      <selection pane="bottomLeft" activeCell="AF30" sqref="AF30"/>
    </sheetView>
  </sheetViews>
  <sheetFormatPr defaultColWidth="8.88671875" defaultRowHeight="13.8"/>
  <cols>
    <col min="1" max="1" width="2" style="31" customWidth="1"/>
    <col min="2" max="11" width="11.109375" style="31" hidden="1" customWidth="1"/>
    <col min="12" max="14" width="11.109375" style="31" customWidth="1"/>
    <col min="15" max="16" width="1.109375" style="31" customWidth="1"/>
    <col min="17" max="17" width="18.6640625" style="165" customWidth="1"/>
    <col min="18" max="18" width="16" style="165" customWidth="1"/>
    <col min="19" max="19" width="14.88671875" style="166" customWidth="1"/>
    <col min="20" max="20" width="38.109375" style="166" customWidth="1"/>
    <col min="21" max="21" width="11" style="166" customWidth="1"/>
    <col min="22" max="23" width="18.109375" style="166" hidden="1" customWidth="1"/>
    <col min="24" max="27" width="18.109375" style="166" customWidth="1"/>
    <col min="28" max="28" width="15.44140625" style="31" hidden="1" customWidth="1"/>
    <col min="29" max="29" width="14.109375" style="31" hidden="1" customWidth="1"/>
    <col min="30" max="31" width="14.109375" style="31" customWidth="1"/>
    <col min="32" max="32" width="16.33203125" style="31" customWidth="1"/>
    <col min="33" max="34" width="16.33203125" style="31" hidden="1" customWidth="1"/>
    <col min="35" max="35" width="16.109375" style="31" hidden="1" customWidth="1"/>
    <col min="36" max="39" width="14.109375" style="31" hidden="1" customWidth="1"/>
    <col min="40" max="40" width="13" style="31" customWidth="1"/>
    <col min="41" max="59" width="14.44140625" style="31" hidden="1" customWidth="1"/>
    <col min="60" max="71" width="14.44140625" style="31" customWidth="1"/>
    <col min="72" max="72" width="14.44140625" style="31" hidden="1" customWidth="1"/>
    <col min="73" max="73" width="46.88671875" style="31" customWidth="1"/>
    <col min="74" max="74" width="11.21875" style="31" bestFit="1" customWidth="1"/>
    <col min="75" max="76" width="19.88671875" style="31" customWidth="1"/>
    <col min="77" max="16384" width="8.88671875" style="31"/>
  </cols>
  <sheetData>
    <row r="1" spans="1:76" ht="52.2" customHeight="1">
      <c r="J1" s="32"/>
      <c r="L1" s="33"/>
      <c r="N1" s="34"/>
      <c r="O1" s="34"/>
      <c r="P1" s="34"/>
      <c r="Q1" s="533" t="s">
        <v>118</v>
      </c>
      <c r="R1" s="533"/>
      <c r="S1" s="533"/>
      <c r="T1" s="533"/>
      <c r="U1" s="35"/>
      <c r="V1" s="35"/>
      <c r="W1" s="35"/>
      <c r="X1" s="35"/>
      <c r="Y1" s="35"/>
      <c r="Z1" s="35"/>
      <c r="AA1" s="35"/>
      <c r="AB1" s="517" t="s">
        <v>110</v>
      </c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  <c r="AV1" s="517"/>
      <c r="AW1" s="517"/>
      <c r="AX1" s="517"/>
      <c r="AY1" s="517"/>
      <c r="AZ1" s="517"/>
      <c r="BA1" s="517"/>
      <c r="BB1" s="517"/>
      <c r="BC1" s="517"/>
      <c r="BD1" s="517"/>
      <c r="BE1" s="517"/>
      <c r="BF1" s="517"/>
      <c r="BG1" s="517"/>
      <c r="BH1" s="517"/>
      <c r="BI1" s="517"/>
      <c r="BJ1" s="517"/>
      <c r="BK1" s="517"/>
      <c r="BL1" s="517"/>
      <c r="BM1" s="517"/>
      <c r="BN1" s="517"/>
      <c r="BO1" s="517"/>
      <c r="BP1" s="517"/>
      <c r="BQ1" s="517"/>
      <c r="BR1" s="517"/>
      <c r="BS1" s="517"/>
      <c r="BT1" s="517"/>
      <c r="BU1" s="518"/>
    </row>
    <row r="2" spans="1:76" ht="31.2" customHeight="1">
      <c r="J2" s="32"/>
      <c r="K2" s="33"/>
      <c r="L2" s="33"/>
      <c r="M2" s="34"/>
      <c r="N2" s="34"/>
      <c r="O2" s="34"/>
      <c r="P2" s="34"/>
      <c r="Q2" s="538" t="s">
        <v>77</v>
      </c>
      <c r="R2" s="538"/>
      <c r="S2" s="538" t="s">
        <v>63</v>
      </c>
      <c r="T2" s="538"/>
      <c r="U2" s="35"/>
      <c r="V2" s="35"/>
      <c r="W2" s="35"/>
      <c r="X2" s="35"/>
      <c r="Y2" s="35"/>
      <c r="Z2" s="35"/>
      <c r="AA2" s="35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8"/>
    </row>
    <row r="3" spans="1:76" ht="10.199999999999999" customHeight="1">
      <c r="A3" s="37"/>
      <c r="G3" s="37"/>
      <c r="H3" s="37"/>
      <c r="I3" s="37"/>
      <c r="J3" s="37"/>
      <c r="K3" s="37"/>
      <c r="L3" s="37"/>
      <c r="Q3" s="38"/>
      <c r="R3" s="39"/>
      <c r="S3" s="40"/>
      <c r="T3" s="40"/>
      <c r="U3" s="35"/>
      <c r="V3" s="35"/>
      <c r="W3" s="35"/>
      <c r="X3" s="35"/>
      <c r="Y3" s="35"/>
      <c r="Z3" s="35"/>
      <c r="AA3" s="35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 t="s">
        <v>89</v>
      </c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2" t="s">
        <v>102</v>
      </c>
    </row>
    <row r="4" spans="1:76" ht="38.4" customHeight="1">
      <c r="K4" s="31" t="s">
        <v>88</v>
      </c>
      <c r="Q4" s="43" t="s">
        <v>103</v>
      </c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2"/>
    </row>
    <row r="5" spans="1:76" ht="13.8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  <c r="R5" s="46"/>
      <c r="S5" s="46"/>
      <c r="T5" s="46"/>
      <c r="U5" s="47"/>
      <c r="V5" s="47"/>
      <c r="W5" s="47"/>
      <c r="X5" s="47"/>
      <c r="Y5" s="47"/>
      <c r="Z5" s="47"/>
      <c r="AA5" s="47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1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2"/>
    </row>
    <row r="6" spans="1:76" ht="42.6" customHeight="1" thickBot="1">
      <c r="A6" s="44"/>
      <c r="B6" s="469" t="s">
        <v>78</v>
      </c>
      <c r="C6" s="469"/>
      <c r="D6" s="469"/>
      <c r="E6" s="469"/>
      <c r="F6" s="469"/>
      <c r="G6" s="469"/>
      <c r="H6" s="469"/>
      <c r="I6" s="469"/>
      <c r="J6" s="469"/>
      <c r="K6" s="469"/>
      <c r="L6" s="469"/>
      <c r="M6" s="469"/>
      <c r="N6" s="469"/>
      <c r="O6" s="44"/>
      <c r="P6" s="44"/>
      <c r="Q6" s="48" t="s">
        <v>79</v>
      </c>
      <c r="R6" s="46"/>
      <c r="S6" s="46"/>
      <c r="T6" s="46"/>
      <c r="U6" s="47"/>
      <c r="V6" s="47"/>
      <c r="W6" s="47"/>
      <c r="X6" s="47"/>
      <c r="Y6" s="47"/>
      <c r="Z6" s="47"/>
      <c r="AA6" s="47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1"/>
      <c r="AO6" s="519" t="s">
        <v>109</v>
      </c>
      <c r="AP6" s="519"/>
      <c r="AQ6" s="519"/>
      <c r="AR6" s="519"/>
      <c r="AS6" s="519"/>
      <c r="AT6" s="519"/>
      <c r="AU6" s="519"/>
      <c r="AV6" s="519"/>
      <c r="AW6" s="519"/>
      <c r="AX6" s="519"/>
      <c r="AY6" s="519"/>
      <c r="AZ6" s="519"/>
      <c r="BA6" s="519"/>
      <c r="BB6" s="519"/>
      <c r="BC6" s="519"/>
      <c r="BD6" s="519"/>
      <c r="BE6" s="519"/>
      <c r="BF6" s="519"/>
      <c r="BG6" s="519"/>
      <c r="BH6" s="519"/>
      <c r="BI6" s="519"/>
      <c r="BJ6" s="519"/>
      <c r="BK6" s="519"/>
      <c r="BL6" s="519"/>
      <c r="BM6" s="519"/>
      <c r="BN6" s="519"/>
      <c r="BO6" s="519"/>
      <c r="BP6" s="519"/>
      <c r="BQ6" s="519"/>
      <c r="BR6" s="519"/>
      <c r="BS6" s="519"/>
      <c r="BT6" s="519"/>
      <c r="BU6" s="520"/>
    </row>
    <row r="7" spans="1:76" ht="29.4" customHeight="1">
      <c r="B7" s="49" t="s">
        <v>68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1"/>
      <c r="Q7" s="471"/>
      <c r="R7" s="471"/>
      <c r="S7" s="471"/>
      <c r="T7" s="471"/>
      <c r="U7" s="472"/>
      <c r="V7" s="445">
        <v>2021</v>
      </c>
      <c r="W7" s="445">
        <v>2022</v>
      </c>
      <c r="X7" s="447">
        <v>2023</v>
      </c>
      <c r="Y7" s="458">
        <v>2024</v>
      </c>
      <c r="Z7" s="458">
        <v>2025</v>
      </c>
      <c r="AA7" s="458">
        <v>2026</v>
      </c>
      <c r="AB7" s="539">
        <v>2026</v>
      </c>
      <c r="AC7" s="540"/>
      <c r="AD7" s="540"/>
      <c r="AE7" s="540"/>
      <c r="AF7" s="540"/>
      <c r="AG7" s="540"/>
      <c r="AH7" s="540"/>
      <c r="AI7" s="540"/>
      <c r="AJ7" s="540"/>
      <c r="AK7" s="540"/>
      <c r="AL7" s="540"/>
      <c r="AM7" s="540"/>
      <c r="AN7" s="41"/>
      <c r="AO7" s="52"/>
      <c r="AP7" s="53"/>
      <c r="AQ7" s="53"/>
      <c r="AR7" s="53"/>
      <c r="AS7" s="53"/>
      <c r="AT7" s="53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282"/>
      <c r="BT7" s="282"/>
      <c r="BU7" s="55"/>
    </row>
    <row r="8" spans="1:76" s="56" customFormat="1" ht="38.4" customHeight="1">
      <c r="B8" s="57"/>
      <c r="N8" s="58"/>
      <c r="Q8" s="471"/>
      <c r="R8" s="471"/>
      <c r="S8" s="471"/>
      <c r="T8" s="471"/>
      <c r="U8" s="472"/>
      <c r="V8" s="446"/>
      <c r="W8" s="446"/>
      <c r="X8" s="448"/>
      <c r="Y8" s="459"/>
      <c r="Z8" s="459"/>
      <c r="AA8" s="459"/>
      <c r="AB8" s="208" t="s">
        <v>44</v>
      </c>
      <c r="AC8" s="167" t="s">
        <v>45</v>
      </c>
      <c r="AD8" s="167" t="s">
        <v>46</v>
      </c>
      <c r="AE8" s="167" t="s">
        <v>47</v>
      </c>
      <c r="AF8" s="167" t="s">
        <v>37</v>
      </c>
      <c r="AG8" s="167" t="s">
        <v>38</v>
      </c>
      <c r="AH8" s="167" t="s">
        <v>39</v>
      </c>
      <c r="AI8" s="167" t="s">
        <v>0</v>
      </c>
      <c r="AJ8" s="167" t="s">
        <v>40</v>
      </c>
      <c r="AK8" s="59" t="s">
        <v>41</v>
      </c>
      <c r="AL8" s="59" t="s">
        <v>42</v>
      </c>
      <c r="AM8" s="59" t="s">
        <v>43</v>
      </c>
      <c r="AN8" s="41"/>
      <c r="AO8" s="168">
        <v>1</v>
      </c>
      <c r="AP8" s="168">
        <v>2</v>
      </c>
      <c r="AQ8" s="168">
        <v>3</v>
      </c>
      <c r="AR8" s="168">
        <v>4</v>
      </c>
      <c r="AS8" s="168">
        <v>5</v>
      </c>
      <c r="AT8" s="168">
        <v>6</v>
      </c>
      <c r="AU8" s="168">
        <v>7</v>
      </c>
      <c r="AV8" s="168">
        <v>8</v>
      </c>
      <c r="AW8" s="168">
        <v>9</v>
      </c>
      <c r="AX8" s="168">
        <v>10</v>
      </c>
      <c r="AY8" s="60">
        <v>11</v>
      </c>
      <c r="AZ8" s="60">
        <v>12</v>
      </c>
      <c r="BA8" s="60">
        <v>13</v>
      </c>
      <c r="BB8" s="60">
        <v>14</v>
      </c>
      <c r="BC8" s="60">
        <v>15</v>
      </c>
      <c r="BD8" s="60">
        <v>16</v>
      </c>
      <c r="BE8" s="60">
        <v>17</v>
      </c>
      <c r="BF8" s="60">
        <v>18</v>
      </c>
      <c r="BG8" s="60">
        <v>19</v>
      </c>
      <c r="BH8" s="60">
        <v>20</v>
      </c>
      <c r="BI8" s="60">
        <v>21</v>
      </c>
      <c r="BJ8" s="60">
        <v>22</v>
      </c>
      <c r="BK8" s="60">
        <v>23</v>
      </c>
      <c r="BL8" s="60">
        <v>24</v>
      </c>
      <c r="BM8" s="60">
        <v>25</v>
      </c>
      <c r="BN8" s="60">
        <v>26</v>
      </c>
      <c r="BO8" s="60">
        <v>27</v>
      </c>
      <c r="BP8" s="60">
        <v>28</v>
      </c>
      <c r="BQ8" s="60">
        <v>29</v>
      </c>
      <c r="BR8" s="60">
        <v>30</v>
      </c>
      <c r="BS8" s="308">
        <v>31</v>
      </c>
      <c r="BT8" s="283"/>
      <c r="BU8" s="61"/>
      <c r="BW8" s="62"/>
    </row>
    <row r="9" spans="1:76" s="63" customFormat="1" ht="205.2" customHeight="1">
      <c r="B9" s="64"/>
      <c r="N9" s="65"/>
      <c r="Q9" s="491" t="s">
        <v>60</v>
      </c>
      <c r="R9" s="494" t="s">
        <v>20</v>
      </c>
      <c r="S9" s="66"/>
      <c r="T9" s="67"/>
      <c r="U9" s="68"/>
      <c r="V9" s="175"/>
      <c r="W9" s="175"/>
      <c r="X9" s="194"/>
      <c r="Y9" s="225"/>
      <c r="Z9" s="225"/>
      <c r="AA9" s="225"/>
      <c r="AB9" s="20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41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284"/>
      <c r="BT9" s="284"/>
      <c r="BU9" s="70"/>
      <c r="BW9" s="169"/>
      <c r="BX9" s="169"/>
    </row>
    <row r="10" spans="1:76" s="63" customFormat="1" ht="44.4" customHeight="1">
      <c r="B10" s="64"/>
      <c r="N10" s="65"/>
      <c r="Q10" s="492"/>
      <c r="R10" s="494"/>
      <c r="S10" s="534" t="s">
        <v>101</v>
      </c>
      <c r="T10" s="535"/>
      <c r="U10" s="71" t="s">
        <v>17</v>
      </c>
      <c r="V10" s="294"/>
      <c r="W10" s="294">
        <v>0.9692182391263533</v>
      </c>
      <c r="X10" s="295">
        <v>0.98295916091911473</v>
      </c>
      <c r="Y10" s="296">
        <v>0.94599571459307896</v>
      </c>
      <c r="Z10" s="296">
        <v>0.93245152893539729</v>
      </c>
      <c r="AA10" s="296" t="e">
        <f>IF(SUM(AB10:AM10)=0,0,AVERAGE(AB10:AM10))</f>
        <v>#DIV/0!</v>
      </c>
      <c r="AB10" s="297">
        <f>IF(AB$35=0,"-",IF(AB35=0,"-",AB35/AB$31))</f>
        <v>0.96445999085505252</v>
      </c>
      <c r="AC10" s="297">
        <f t="shared" ref="AC10:AE10" si="0">IF(AC$35=0,"-",IF(AC35=0,"-",AC35/AC$31))</f>
        <v>0.96533079584775083</v>
      </c>
      <c r="AD10" s="297">
        <f t="shared" si="0"/>
        <v>0.98908673139158587</v>
      </c>
      <c r="AE10" s="297">
        <f t="shared" si="0"/>
        <v>0.99709822485207089</v>
      </c>
      <c r="AF10" s="297">
        <f t="shared" ref="AF10" si="1">IF(AF$35=0,"-",IF(AF35=0,"-",AF35/AF$31))</f>
        <v>0.91769599999999996</v>
      </c>
      <c r="AG10" s="297" t="e">
        <f t="shared" ref="AG10" si="2">IF(AG$35=0,"-",IF(AG35=0,"-",AG35/AG$31))</f>
        <v>#DIV/0!</v>
      </c>
      <c r="AH10" s="297" t="e">
        <f t="shared" ref="AH10" si="3">IF(AH$35=0,"-",IF(AH35=0,"-",AH35/AH$31))</f>
        <v>#DIV/0!</v>
      </c>
      <c r="AI10" s="297" t="str">
        <f t="shared" ref="AI10" si="4">IF(AI$35=0,"-",IF(AI35=0,"-",AI35/AI$31))</f>
        <v>-</v>
      </c>
      <c r="AJ10" s="297" t="str">
        <f t="shared" ref="AJ10:AM10" si="5">IF(AJ$35=0,"-",IF(AJ35=0,"-",AJ35/AJ$31))</f>
        <v>-</v>
      </c>
      <c r="AK10" s="297" t="str">
        <f t="shared" si="5"/>
        <v>-</v>
      </c>
      <c r="AL10" s="297" t="str">
        <f t="shared" si="5"/>
        <v>-</v>
      </c>
      <c r="AM10" s="297" t="str">
        <f t="shared" si="5"/>
        <v>-</v>
      </c>
      <c r="AN10" s="41"/>
      <c r="AO10" s="72" t="str">
        <f t="shared" ref="AO10:AQ10" si="6">IF(AO$35=0,"-",IF(AO35=0,"-",AO35/AO$31))</f>
        <v>-</v>
      </c>
      <c r="AP10" s="72" t="str">
        <f t="shared" si="6"/>
        <v>-</v>
      </c>
      <c r="AQ10" s="72" t="str">
        <f t="shared" si="6"/>
        <v>-</v>
      </c>
      <c r="AR10" s="72" t="str">
        <f t="shared" ref="AR10:AS10" si="7">IF(AR$35=0,"-",IF(AR35=0,"-",AR35/AR$31))</f>
        <v>-</v>
      </c>
      <c r="AS10" s="72" t="str">
        <f t="shared" si="7"/>
        <v>-</v>
      </c>
      <c r="AT10" s="72" t="str">
        <f t="shared" ref="AT10:AU10" si="8">IF(AT$35=0,"-",IF(AT35=0,"-",AT35/AT$31))</f>
        <v>-</v>
      </c>
      <c r="AU10" s="72" t="str">
        <f t="shared" si="8"/>
        <v>-</v>
      </c>
      <c r="AV10" s="72" t="str">
        <f t="shared" ref="AV10:AX10" si="9">IF(AV$35=0,"-",IF(AV35=0,"-",AV35/AV$31))</f>
        <v>-</v>
      </c>
      <c r="AW10" s="72" t="str">
        <f t="shared" si="9"/>
        <v>-</v>
      </c>
      <c r="AX10" s="72" t="str">
        <f t="shared" si="9"/>
        <v>-</v>
      </c>
      <c r="AY10" s="72" t="str">
        <f t="shared" ref="AY10:AZ10" si="10">IF(AY$35=0,"-",IF(AY35=0,"-",AY35/AY$31))</f>
        <v>-</v>
      </c>
      <c r="AZ10" s="72" t="str">
        <f t="shared" si="10"/>
        <v>-</v>
      </c>
      <c r="BA10" s="72" t="str">
        <f t="shared" ref="BA10:BB10" si="11">IF(BA$35=0,"-",IF(BA35=0,"-",BA35/BA$31))</f>
        <v>-</v>
      </c>
      <c r="BB10" s="72" t="str">
        <f t="shared" si="11"/>
        <v>-</v>
      </c>
      <c r="BC10" s="72" t="str">
        <f t="shared" ref="BC10:BE10" si="12">IF(BC$35=0,"-",IF(BC35=0,"-",BC35/BC$31))</f>
        <v>-</v>
      </c>
      <c r="BD10" s="72" t="str">
        <f t="shared" si="12"/>
        <v>-</v>
      </c>
      <c r="BE10" s="72" t="str">
        <f t="shared" si="12"/>
        <v>-</v>
      </c>
      <c r="BF10" s="72" t="str">
        <f t="shared" ref="BF10:BG10" si="13">IF(BF$35=0,"-",IF(BF35=0,"-",BF35/BF$31))</f>
        <v>-</v>
      </c>
      <c r="BG10" s="72" t="str">
        <f t="shared" si="13"/>
        <v>-</v>
      </c>
      <c r="BH10" s="72" t="str">
        <f t="shared" ref="BH10:BI10" si="14">IF(BH$35=0,"-",IF(BH35=0,"-",BH35/BH$31))</f>
        <v>-</v>
      </c>
      <c r="BI10" s="72" t="str">
        <f t="shared" si="14"/>
        <v>-</v>
      </c>
      <c r="BJ10" s="72" t="str">
        <f t="shared" ref="BJ10:BL10" si="15">IF(BJ$35=0,"-",IF(BJ35=0,"-",BJ35/BJ$31))</f>
        <v>-</v>
      </c>
      <c r="BK10" s="72" t="str">
        <f t="shared" si="15"/>
        <v>-</v>
      </c>
      <c r="BL10" s="72" t="str">
        <f t="shared" si="15"/>
        <v>-</v>
      </c>
      <c r="BM10" s="72" t="str">
        <f t="shared" ref="BM10:BN10" si="16">IF(BM$35=0,"-",IF(BM35=0,"-",BM35/BM$31))</f>
        <v>-</v>
      </c>
      <c r="BN10" s="72" t="str">
        <f t="shared" si="16"/>
        <v>-</v>
      </c>
      <c r="BO10" s="72" t="str">
        <f t="shared" ref="BO10:BP10" si="17">IF(BO$35=0,"-",IF(BO35=0,"-",BO35/BO$31))</f>
        <v>-</v>
      </c>
      <c r="BP10" s="72" t="str">
        <f t="shared" si="17"/>
        <v>-</v>
      </c>
      <c r="BQ10" s="72">
        <f t="shared" ref="BQ10:BS10" si="18">IF(BQ$35=0,"-",IF(BQ35=0,"-",BQ35/BQ$31))</f>
        <v>0.95354399999999995</v>
      </c>
      <c r="BR10" s="72">
        <f t="shared" si="18"/>
        <v>0.969082</v>
      </c>
      <c r="BS10" s="72">
        <f t="shared" si="18"/>
        <v>0.857348</v>
      </c>
      <c r="BT10" s="72"/>
      <c r="BU10" s="70"/>
      <c r="BW10" s="170"/>
      <c r="BX10" s="170"/>
    </row>
    <row r="11" spans="1:76" s="63" customFormat="1" ht="42" customHeight="1">
      <c r="B11" s="64"/>
      <c r="N11" s="65"/>
      <c r="Q11" s="492"/>
      <c r="R11" s="494"/>
      <c r="S11" s="536" t="s">
        <v>66</v>
      </c>
      <c r="T11" s="537"/>
      <c r="U11" s="73" t="s">
        <v>17</v>
      </c>
      <c r="V11" s="298">
        <v>0.88382384103121248</v>
      </c>
      <c r="W11" s="298">
        <v>0.98037337996874907</v>
      </c>
      <c r="X11" s="299">
        <v>0.97833538821716581</v>
      </c>
      <c r="Y11" s="300">
        <v>0.94952738476272014</v>
      </c>
      <c r="Z11" s="300">
        <v>0.93021103818162276</v>
      </c>
      <c r="AA11" s="300" t="e">
        <f>IF(SUM(AB11:AM11)=0,0,AVERAGE(AB11:AM11))</f>
        <v>#DIV/0!</v>
      </c>
      <c r="AB11" s="301">
        <f t="shared" ref="AB11" si="19">IF(AB$34=0,"-",IF(AB34=0,"-",AB34/AB$30))</f>
        <v>0.92698361111111116</v>
      </c>
      <c r="AC11" s="301">
        <f t="shared" ref="AC11:AE11" si="20">IF(AC$34=0,"-",IF(AC34=0,"-",AC34/AC$30))</f>
        <v>0.96234927536231873</v>
      </c>
      <c r="AD11" s="301">
        <f t="shared" si="20"/>
        <v>0.94568386820710315</v>
      </c>
      <c r="AE11" s="301">
        <f t="shared" si="20"/>
        <v>0.9431308666017526</v>
      </c>
      <c r="AF11" s="301">
        <f t="shared" ref="AF11" si="21">IF(AF$34=0,"-",IF(AF34=0,"-",AF34/AF$30))</f>
        <v>0.94172877059569082</v>
      </c>
      <c r="AG11" s="301" t="e">
        <f t="shared" ref="AG11" si="22">IF(AG$34=0,"-",IF(AG34=0,"-",AG34/AG$30))</f>
        <v>#DIV/0!</v>
      </c>
      <c r="AH11" s="301" t="e">
        <f t="shared" ref="AH11" si="23">IF(AH$34=0,"-",IF(AH34=0,"-",AH34/AH$30))</f>
        <v>#DIV/0!</v>
      </c>
      <c r="AI11" s="301" t="str">
        <f t="shared" ref="AI11" si="24">IF(AI$34=0,"-",IF(AI34=0,"-",AI34/AI$30))</f>
        <v>-</v>
      </c>
      <c r="AJ11" s="301" t="str">
        <f t="shared" ref="AJ11:AL11" si="25">IF(AJ$34=0,"-",IF(AJ34=0,"-",AJ34/AJ$30))</f>
        <v>-</v>
      </c>
      <c r="AK11" s="301" t="str">
        <f t="shared" si="25"/>
        <v>-</v>
      </c>
      <c r="AL11" s="301" t="str">
        <f t="shared" si="25"/>
        <v>-</v>
      </c>
      <c r="AM11" s="301" t="str">
        <f>IF(AM$34=0,"-",IF(AM34=0,"-",AM34/AM$30))</f>
        <v>-</v>
      </c>
      <c r="AN11" s="41"/>
      <c r="AO11" s="74">
        <f t="shared" ref="AO11:AQ11" si="26">IF(AO$34=0,"-",IF(AO34=0,"-",AO34/AO$30))</f>
        <v>0.87175000000000002</v>
      </c>
      <c r="AP11" s="74">
        <f t="shared" si="26"/>
        <v>0.95314571428571426</v>
      </c>
      <c r="AQ11" s="74">
        <f t="shared" si="26"/>
        <v>0.85085957446808513</v>
      </c>
      <c r="AR11" s="74">
        <f t="shared" ref="AR11:AS11" si="27">IF(AR$34=0,"-",IF(AR34=0,"-",AR34/AR$30))</f>
        <v>0.92270612244897954</v>
      </c>
      <c r="AS11" s="74">
        <f t="shared" si="27"/>
        <v>1.01505</v>
      </c>
      <c r="AT11" s="74">
        <f t="shared" ref="AT11:AU11" si="28">IF(AT$34=0,"-",IF(AT34=0,"-",AT34/AT$30))</f>
        <v>0.99312884615384622</v>
      </c>
      <c r="AU11" s="74">
        <f t="shared" si="28"/>
        <v>1.0022551020408164</v>
      </c>
      <c r="AV11" s="74">
        <f t="shared" ref="AV11:AX11" si="29">IF(AV$34=0,"-",IF(AV34=0,"-",AV34/AV$30))</f>
        <v>0.96843999999999997</v>
      </c>
      <c r="AW11" s="74">
        <f t="shared" si="29"/>
        <v>0.95927843137254909</v>
      </c>
      <c r="AX11" s="74">
        <f t="shared" si="29"/>
        <v>0.97239111111111121</v>
      </c>
      <c r="AY11" s="74">
        <f t="shared" ref="AY11:AZ11" si="30">IF(AY$34=0,"-",IF(AY34=0,"-",AY34/AY$30))</f>
        <v>0.86713125000000002</v>
      </c>
      <c r="AZ11" s="74">
        <f t="shared" si="30"/>
        <v>0.89939999999999998</v>
      </c>
      <c r="BA11" s="74" t="str">
        <f t="shared" ref="BA11:BB11" si="31">IF(BA$34=0,"-",IF(BA34=0,"-",BA34/BA$30))</f>
        <v>-</v>
      </c>
      <c r="BB11" s="74">
        <f t="shared" si="31"/>
        <v>0.65072857142857143</v>
      </c>
      <c r="BC11" s="74">
        <f t="shared" ref="BC11:BE11" si="32">IF(BC$34=0,"-",IF(BC34=0,"-",BC34/BC$30))</f>
        <v>0.96346799999999999</v>
      </c>
      <c r="BD11" s="74">
        <f t="shared" si="32"/>
        <v>0.91918000000000011</v>
      </c>
      <c r="BE11" s="74">
        <f t="shared" si="32"/>
        <v>0.92805686274509813</v>
      </c>
      <c r="BF11" s="74">
        <f t="shared" ref="BF11:BG11" si="33">IF(BF$34=0,"-",IF(BF34=0,"-",BF34/BF$30))</f>
        <v>0.94633800000000001</v>
      </c>
      <c r="BG11" s="74">
        <f t="shared" si="33"/>
        <v>0.98675434782608695</v>
      </c>
      <c r="BH11" s="74">
        <f t="shared" ref="BH11:BI11" si="34">IF(BH$34=0,"-",IF(BH34=0,"-",BH34/BH$30))</f>
        <v>0.989398</v>
      </c>
      <c r="BI11" s="74">
        <f t="shared" si="34"/>
        <v>0.95090392156862746</v>
      </c>
      <c r="BJ11" s="74">
        <f t="shared" ref="BJ11:BL11" si="35">IF(BJ$34=0,"-",IF(BJ34=0,"-",BJ34/BJ$30))</f>
        <v>0.85370199999999996</v>
      </c>
      <c r="BK11" s="74">
        <f t="shared" si="35"/>
        <v>0.96240566037735842</v>
      </c>
      <c r="BL11" s="74">
        <f t="shared" si="35"/>
        <v>0.97394074074074077</v>
      </c>
      <c r="BM11" s="74">
        <f t="shared" ref="BM11:BN11" si="36">IF(BM$34=0,"-",IF(BM34=0,"-",BM34/BM$30))</f>
        <v>0.97713773584905672</v>
      </c>
      <c r="BN11" s="74">
        <f t="shared" si="36"/>
        <v>0.91112499999999996</v>
      </c>
      <c r="BO11" s="74">
        <f t="shared" ref="BO11:BP11" si="37">IF(BO$34=0,"-",IF(BO34=0,"-",BO34/BO$30))</f>
        <v>0.96579999999999999</v>
      </c>
      <c r="BP11" s="74">
        <f t="shared" si="37"/>
        <v>0.97270909090909097</v>
      </c>
      <c r="BQ11" s="74">
        <f t="shared" ref="BQ11:BS11" si="38">IF(BQ$34=0,"-",IF(BQ34=0,"-",BQ34/BQ$30))</f>
        <v>0.91776250000000004</v>
      </c>
      <c r="BR11" s="74" t="str">
        <f t="shared" si="38"/>
        <v>-</v>
      </c>
      <c r="BS11" s="74" t="str">
        <f t="shared" si="38"/>
        <v>-</v>
      </c>
      <c r="BT11" s="74"/>
      <c r="BU11" s="70"/>
      <c r="BV11" s="192"/>
      <c r="BW11" s="193"/>
      <c r="BX11" s="172"/>
    </row>
    <row r="12" spans="1:76" s="63" customFormat="1" ht="28.2" customHeight="1">
      <c r="B12" s="64"/>
      <c r="N12" s="65"/>
      <c r="Q12" s="492"/>
      <c r="R12" s="494"/>
      <c r="S12" s="495" t="s">
        <v>19</v>
      </c>
      <c r="T12" s="495"/>
      <c r="U12" s="75" t="s">
        <v>21</v>
      </c>
      <c r="V12" s="176" t="str">
        <f t="shared" ref="V12:W12" si="39">IF(V34=0," ",IF(V11&gt;0.95,"O",IF(V11&lt;0.85,"X","Δ")))</f>
        <v>Δ</v>
      </c>
      <c r="W12" s="177" t="str">
        <f t="shared" si="39"/>
        <v>O</v>
      </c>
      <c r="X12" s="195" t="str">
        <f>IF(X34=0," ",IF(X11&gt;0.95,"O",IF(X11&lt;0.85,"X","Δ")))</f>
        <v>O</v>
      </c>
      <c r="Y12" s="226" t="str">
        <f>IF(Y34=0," ",IF(Y11&gt;0.95,"O",IF(Y11&lt;0.85,"X","Δ")))</f>
        <v>Δ</v>
      </c>
      <c r="Z12" s="226" t="str">
        <f t="shared" ref="Z12:AA12" si="40">IF(Z34=0," ",IF(Z11&gt;0.95,"O",IF(Z11&lt;0.85,"X","Δ")))</f>
        <v>Δ</v>
      </c>
      <c r="AA12" s="226" t="e">
        <f t="shared" si="40"/>
        <v>#DIV/0!</v>
      </c>
      <c r="AB12" s="210" t="str">
        <f t="shared" ref="AB12:AJ12" si="41">IF(AB34=0," ",IF(AB11&gt;0.95,"O",IF(AB11&lt;0.9,"X","Δ")))</f>
        <v>Δ</v>
      </c>
      <c r="AC12" s="210" t="str">
        <f t="shared" si="41"/>
        <v>O</v>
      </c>
      <c r="AD12" s="210" t="str">
        <f t="shared" ref="AD12:AE12" si="42">IF(AD34=0," ",IF(AD11&gt;0.95,"O",IF(AD11&lt;0.9,"X","Δ")))</f>
        <v>Δ</v>
      </c>
      <c r="AE12" s="210" t="str">
        <f t="shared" si="42"/>
        <v>Δ</v>
      </c>
      <c r="AF12" s="210" t="str">
        <f t="shared" si="41"/>
        <v>Δ</v>
      </c>
      <c r="AG12" s="210" t="e">
        <f t="shared" si="41"/>
        <v>#DIV/0!</v>
      </c>
      <c r="AH12" s="210" t="e">
        <f t="shared" si="41"/>
        <v>#DIV/0!</v>
      </c>
      <c r="AI12" s="210" t="str">
        <f t="shared" si="41"/>
        <v xml:space="preserve"> </v>
      </c>
      <c r="AJ12" s="210" t="str">
        <f t="shared" si="41"/>
        <v xml:space="preserve"> </v>
      </c>
      <c r="AK12" s="210" t="str">
        <f t="shared" ref="AK12:AM12" si="43">IF(AK34=0," ",IF(AK11&gt;0.95,"O",IF(AK11&lt;0.9,"X","Δ")))</f>
        <v xml:space="preserve"> </v>
      </c>
      <c r="AL12" s="210" t="str">
        <f t="shared" si="43"/>
        <v xml:space="preserve"> </v>
      </c>
      <c r="AM12" s="210" t="str">
        <f t="shared" si="43"/>
        <v xml:space="preserve"> </v>
      </c>
      <c r="AN12" s="41"/>
      <c r="AO12" s="76" t="str">
        <f t="shared" ref="AO12:AQ12" si="44">IF(AO34=0," ",IF(AO11&gt;0.949,"O",IF(AO11&lt;0.9,"X","Δ")))</f>
        <v>X</v>
      </c>
      <c r="AP12" s="76" t="str">
        <f t="shared" si="44"/>
        <v>O</v>
      </c>
      <c r="AQ12" s="76" t="str">
        <f t="shared" si="44"/>
        <v>X</v>
      </c>
      <c r="AR12" s="76" t="str">
        <f t="shared" ref="AR12:AS12" si="45">IF(AR34=0," ",IF(AR11&gt;0.949,"O",IF(AR11&lt;0.9,"X","Δ")))</f>
        <v>Δ</v>
      </c>
      <c r="AS12" s="76" t="str">
        <f t="shared" si="45"/>
        <v>O</v>
      </c>
      <c r="AT12" s="76" t="str">
        <f t="shared" ref="AT12:AU12" si="46">IF(AT34=0," ",IF(AT11&gt;0.949,"O",IF(AT11&lt;0.9,"X","Δ")))</f>
        <v>O</v>
      </c>
      <c r="AU12" s="76" t="str">
        <f t="shared" si="46"/>
        <v>O</v>
      </c>
      <c r="AV12" s="76" t="str">
        <f t="shared" ref="AV12:AX12" si="47">IF(AV34=0," ",IF(AV11&gt;0.949,"O",IF(AV11&lt;0.9,"X","Δ")))</f>
        <v>O</v>
      </c>
      <c r="AW12" s="76" t="str">
        <f t="shared" si="47"/>
        <v>O</v>
      </c>
      <c r="AX12" s="76" t="str">
        <f t="shared" si="47"/>
        <v>O</v>
      </c>
      <c r="AY12" s="76" t="str">
        <f t="shared" ref="AY12:AZ12" si="48">IF(AY34=0," ",IF(AY11&gt;0.949,"O",IF(AY11&lt;0.9,"X","Δ")))</f>
        <v>X</v>
      </c>
      <c r="AZ12" s="76" t="str">
        <f t="shared" si="48"/>
        <v>X</v>
      </c>
      <c r="BA12" s="76" t="str">
        <f t="shared" ref="BA12:BB12" si="49">IF(BA34=0," ",IF(BA11&gt;0.949,"O",IF(BA11&lt;0.9,"X","Δ")))</f>
        <v xml:space="preserve"> </v>
      </c>
      <c r="BB12" s="76" t="str">
        <f t="shared" si="49"/>
        <v>X</v>
      </c>
      <c r="BC12" s="76" t="str">
        <f t="shared" ref="BC12:BE12" si="50">IF(BC34=0," ",IF(BC11&gt;0.949,"O",IF(BC11&lt;0.9,"X","Δ")))</f>
        <v>O</v>
      </c>
      <c r="BD12" s="76" t="str">
        <f t="shared" si="50"/>
        <v>Δ</v>
      </c>
      <c r="BE12" s="76" t="str">
        <f t="shared" si="50"/>
        <v>Δ</v>
      </c>
      <c r="BF12" s="76" t="str">
        <f t="shared" ref="BF12:BG12" si="51">IF(BF34=0," ",IF(BF11&gt;0.949,"O",IF(BF11&lt;0.9,"X","Δ")))</f>
        <v>Δ</v>
      </c>
      <c r="BG12" s="76" t="str">
        <f t="shared" si="51"/>
        <v>O</v>
      </c>
      <c r="BH12" s="76" t="str">
        <f t="shared" ref="BH12:BI12" si="52">IF(BH34=0," ",IF(BH11&gt;0.949,"O",IF(BH11&lt;0.9,"X","Δ")))</f>
        <v>O</v>
      </c>
      <c r="BI12" s="76" t="str">
        <f t="shared" si="52"/>
        <v>O</v>
      </c>
      <c r="BJ12" s="76" t="str">
        <f t="shared" ref="BJ12:BL12" si="53">IF(BJ34=0," ",IF(BJ11&gt;0.949,"O",IF(BJ11&lt;0.9,"X","Δ")))</f>
        <v>X</v>
      </c>
      <c r="BK12" s="76" t="str">
        <f t="shared" si="53"/>
        <v>O</v>
      </c>
      <c r="BL12" s="76" t="str">
        <f t="shared" si="53"/>
        <v>O</v>
      </c>
      <c r="BM12" s="76" t="str">
        <f t="shared" ref="BM12:BN12" si="54">IF(BM34=0," ",IF(BM11&gt;0.949,"O",IF(BM11&lt;0.9,"X","Δ")))</f>
        <v>O</v>
      </c>
      <c r="BN12" s="76" t="str">
        <f t="shared" si="54"/>
        <v>Δ</v>
      </c>
      <c r="BO12" s="76" t="str">
        <f t="shared" ref="BO12:BP12" si="55">IF(BO34=0," ",IF(BO11&gt;0.949,"O",IF(BO11&lt;0.9,"X","Δ")))</f>
        <v>O</v>
      </c>
      <c r="BP12" s="76" t="str">
        <f t="shared" si="55"/>
        <v>O</v>
      </c>
      <c r="BQ12" s="76" t="str">
        <f t="shared" ref="BQ12:BS12" si="56">IF(BQ34=0," ",IF(BQ11&gt;0.949,"O",IF(BQ11&lt;0.9,"X","Δ")))</f>
        <v>Δ</v>
      </c>
      <c r="BR12" s="76" t="str">
        <f t="shared" si="56"/>
        <v xml:space="preserve"> </v>
      </c>
      <c r="BS12" s="76" t="str">
        <f t="shared" si="56"/>
        <v xml:space="preserve"> </v>
      </c>
      <c r="BT12" s="76"/>
      <c r="BU12" s="70"/>
    </row>
    <row r="13" spans="1:76" s="77" customFormat="1" ht="201.6" customHeight="1">
      <c r="B13" s="78"/>
      <c r="N13" s="79"/>
      <c r="Q13" s="492"/>
      <c r="R13" s="496" t="s">
        <v>22</v>
      </c>
      <c r="S13" s="80"/>
      <c r="T13" s="81"/>
      <c r="U13" s="81"/>
      <c r="V13" s="178"/>
      <c r="W13" s="178"/>
      <c r="X13" s="196"/>
      <c r="Y13" s="227"/>
      <c r="Z13" s="227"/>
      <c r="AA13" s="227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41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3"/>
      <c r="BX13" s="171"/>
    </row>
    <row r="14" spans="1:76" s="77" customFormat="1" ht="33" customHeight="1">
      <c r="B14" s="78"/>
      <c r="N14" s="79"/>
      <c r="Q14" s="492"/>
      <c r="R14" s="496"/>
      <c r="S14" s="478" t="s">
        <v>62</v>
      </c>
      <c r="T14" s="479"/>
      <c r="U14" s="84" t="s">
        <v>17</v>
      </c>
      <c r="V14" s="85">
        <v>0.85864724149944871</v>
      </c>
      <c r="W14" s="85">
        <v>0.97322848196789513</v>
      </c>
      <c r="X14" s="291">
        <v>0.97246110069234437</v>
      </c>
      <c r="Y14" s="292">
        <f>+Y36/Y32</f>
        <v>0.94837079989077122</v>
      </c>
      <c r="Z14" s="292">
        <f>+Z36/Z32</f>
        <v>0.9287168067754078</v>
      </c>
      <c r="AA14" s="292">
        <f t="shared" ref="AA14" si="57">+AA36/AA32</f>
        <v>0.94616992756274232</v>
      </c>
      <c r="AB14" s="293">
        <f>AB36/AB32</f>
        <v>0.92416894366197189</v>
      </c>
      <c r="AC14" s="293">
        <f>AC36/AC32</f>
        <v>0.96195611310234952</v>
      </c>
      <c r="AD14" s="293">
        <f t="shared" ref="AD14:AE14" si="58">AD36/AD32</f>
        <v>0.95079171428571452</v>
      </c>
      <c r="AE14" s="293">
        <f t="shared" si="58"/>
        <v>0.95917599410898369</v>
      </c>
      <c r="AF14" s="293">
        <f t="shared" ref="AF14" si="59">AF36/AF32</f>
        <v>0.93709071428571433</v>
      </c>
      <c r="AG14" s="293" t="e">
        <f t="shared" ref="AG14:AH14" si="60">AG36/AG32</f>
        <v>#DIV/0!</v>
      </c>
      <c r="AH14" s="293" t="e">
        <f t="shared" si="60"/>
        <v>#DIV/0!</v>
      </c>
      <c r="AI14" s="293" t="e">
        <f t="shared" ref="AI14" si="61">AI36/AI32</f>
        <v>#DIV/0!</v>
      </c>
      <c r="AJ14" s="293" t="e">
        <f t="shared" ref="AJ14:AM14" si="62">AJ36/AJ32</f>
        <v>#DIV/0!</v>
      </c>
      <c r="AK14" s="293" t="e">
        <f t="shared" si="62"/>
        <v>#DIV/0!</v>
      </c>
      <c r="AL14" s="293" t="e">
        <f t="shared" si="62"/>
        <v>#DIV/0!</v>
      </c>
      <c r="AM14" s="293" t="e">
        <f t="shared" si="62"/>
        <v>#DIV/0!</v>
      </c>
      <c r="AN14" s="41"/>
      <c r="AO14" s="85">
        <f t="shared" ref="AO14:AQ14" si="63">IFERROR((AO36/AO32),0)</f>
        <v>0.89225142857142858</v>
      </c>
      <c r="AP14" s="85">
        <f t="shared" si="63"/>
        <v>0.96173571428571425</v>
      </c>
      <c r="AQ14" s="85">
        <f t="shared" si="63"/>
        <v>0.85297500000000004</v>
      </c>
      <c r="AR14" s="85">
        <f t="shared" ref="AR14:AS14" si="64">IFERROR((AR36/AR32),0)</f>
        <v>0.92270612244897954</v>
      </c>
      <c r="AS14" s="85">
        <f t="shared" si="64"/>
        <v>1.01505</v>
      </c>
      <c r="AT14" s="85">
        <f t="shared" ref="AT14:AU14" si="65">IFERROR((AT36/AT32),0)</f>
        <v>0.99312884615384622</v>
      </c>
      <c r="AU14" s="85">
        <f t="shared" si="65"/>
        <v>1.0022551020408164</v>
      </c>
      <c r="AV14" s="85">
        <f t="shared" ref="AV14:AX14" si="66">IFERROR((AV36/AV32),0)</f>
        <v>0.96843999999999997</v>
      </c>
      <c r="AW14" s="85">
        <f t="shared" si="66"/>
        <v>0.95927843137254909</v>
      </c>
      <c r="AX14" s="85">
        <f t="shared" si="66"/>
        <v>0.97239111111111121</v>
      </c>
      <c r="AY14" s="85">
        <f t="shared" ref="AY14:AZ14" si="67">IFERROR((AY36/AY32),0)</f>
        <v>0.86713125000000002</v>
      </c>
      <c r="AZ14" s="85">
        <f t="shared" si="67"/>
        <v>0.8460766666666667</v>
      </c>
      <c r="BA14" s="85">
        <f t="shared" ref="BA14:BB14" si="68">IFERROR((BA36/BA32),0)</f>
        <v>0</v>
      </c>
      <c r="BB14" s="85">
        <f t="shared" si="68"/>
        <v>0.69301794871794864</v>
      </c>
      <c r="BC14" s="85">
        <f t="shared" ref="BC14:BE14" si="69">IFERROR((BC36/BC32),0)</f>
        <v>0.96346799999999999</v>
      </c>
      <c r="BD14" s="85">
        <f t="shared" si="69"/>
        <v>0.95379666666666674</v>
      </c>
      <c r="BE14" s="85">
        <f t="shared" si="69"/>
        <v>0.92805686274509813</v>
      </c>
      <c r="BF14" s="85">
        <f t="shared" ref="BF14:BG14" si="70">IFERROR((BF36/BF32),0)</f>
        <v>0.94633800000000001</v>
      </c>
      <c r="BG14" s="85">
        <f t="shared" si="70"/>
        <v>0.98675434782608695</v>
      </c>
      <c r="BH14" s="85">
        <f t="shared" ref="BH14:BI14" si="71">IFERROR((BH36/BH32),0)</f>
        <v>0.989398</v>
      </c>
      <c r="BI14" s="85">
        <f t="shared" si="71"/>
        <v>0.95090392156862746</v>
      </c>
      <c r="BJ14" s="85">
        <f t="shared" ref="BJ14:BL14" si="72">IFERROR((BJ36/BJ32),0)</f>
        <v>0.85370199999999996</v>
      </c>
      <c r="BK14" s="85">
        <f t="shared" si="72"/>
        <v>0.96240566037735842</v>
      </c>
      <c r="BL14" s="85">
        <f t="shared" si="72"/>
        <v>0.97394074074074077</v>
      </c>
      <c r="BM14" s="85">
        <f t="shared" ref="BM14:BN14" si="73">IFERROR((BM36/BM32),0)</f>
        <v>0.97713773584905672</v>
      </c>
      <c r="BN14" s="85">
        <f t="shared" si="73"/>
        <v>0.91112499999999996</v>
      </c>
      <c r="BO14" s="85">
        <f t="shared" ref="BO14:BP14" si="74">IFERROR((BO36/BO32),0)</f>
        <v>0.96211400000000002</v>
      </c>
      <c r="BP14" s="85">
        <f t="shared" si="74"/>
        <v>0.95614545454545463</v>
      </c>
      <c r="BQ14" s="85">
        <f t="shared" ref="BQ14:BS14" si="75">IFERROR((BQ36/BQ32),0)</f>
        <v>0.93274583333333339</v>
      </c>
      <c r="BR14" s="85">
        <f t="shared" si="75"/>
        <v>0.969082</v>
      </c>
      <c r="BS14" s="85">
        <f t="shared" si="75"/>
        <v>0.857348</v>
      </c>
      <c r="BT14" s="85"/>
      <c r="BU14" s="83"/>
      <c r="BV14" s="192"/>
      <c r="BW14" s="193"/>
      <c r="BX14" s="280"/>
    </row>
    <row r="15" spans="1:76" s="77" customFormat="1" ht="34.799999999999997" customHeight="1">
      <c r="B15" s="78"/>
      <c r="N15" s="79"/>
      <c r="Q15" s="492"/>
      <c r="R15" s="496"/>
      <c r="S15" s="497" t="s">
        <v>19</v>
      </c>
      <c r="T15" s="497"/>
      <c r="U15" s="75" t="s">
        <v>21</v>
      </c>
      <c r="V15" s="176" t="str">
        <f>IF(V36=0,"",IF(V14&gt;0.95,"O",IF(V14&lt;0.85,"X","Δ")))</f>
        <v>Δ</v>
      </c>
      <c r="W15" s="177" t="str">
        <f>IF(W36=0,"",IF(W14&gt;0.95,"O",IF(W14&lt;0.85,"X","Δ")))</f>
        <v>O</v>
      </c>
      <c r="X15" s="195" t="str">
        <f>IF(X36=0,"",IF(X14&gt;0.95,"O",IF(X14&lt;0.85,"X","Δ")))</f>
        <v>O</v>
      </c>
      <c r="Y15" s="226" t="str">
        <f>IF(Y36=0,"",IF(Y14&gt;0.95,"O",IF(Y14&lt;0.85,"X","Δ")))</f>
        <v>Δ</v>
      </c>
      <c r="Z15" s="226" t="str">
        <f t="shared" ref="Z15" si="76">IF(Z36=0,"",IF(Z14&gt;0.95,"O",IF(Z14&lt;0.85,"X","Δ")))</f>
        <v>Δ</v>
      </c>
      <c r="AA15" s="226" t="str">
        <f>IF(AA36=0,"",IF(AA14&gt;0.95,"O",IF(AA14&lt;0.9,"X","Δ")))</f>
        <v>Δ</v>
      </c>
      <c r="AB15" s="210" t="str">
        <f t="shared" ref="AB15:AJ15" si="77">IF(AB36=0,"",IF(AB14&gt;0.95,"O",IF(AB14&lt;0.9,"X","Δ")))</f>
        <v>Δ</v>
      </c>
      <c r="AC15" s="210" t="str">
        <f t="shared" si="77"/>
        <v>O</v>
      </c>
      <c r="AD15" s="210" t="str">
        <f t="shared" ref="AD15:AE15" si="78">IF(AD36=0,"",IF(AD14&gt;0.95,"O",IF(AD14&lt;0.9,"X","Δ")))</f>
        <v>O</v>
      </c>
      <c r="AE15" s="210" t="str">
        <f t="shared" si="78"/>
        <v>O</v>
      </c>
      <c r="AF15" s="210" t="str">
        <f t="shared" si="77"/>
        <v>Δ</v>
      </c>
      <c r="AG15" s="210" t="e">
        <f t="shared" si="77"/>
        <v>#DIV/0!</v>
      </c>
      <c r="AH15" s="210" t="e">
        <f t="shared" si="77"/>
        <v>#DIV/0!</v>
      </c>
      <c r="AI15" s="210" t="str">
        <f t="shared" si="77"/>
        <v/>
      </c>
      <c r="AJ15" s="210" t="str">
        <f t="shared" si="77"/>
        <v/>
      </c>
      <c r="AK15" s="210" t="str">
        <f t="shared" ref="AK15:AL15" si="79">IF(AK36=0,"",IF(AK14&gt;0.95,"O",IF(AK14&lt;0.9,"X","Δ")))</f>
        <v/>
      </c>
      <c r="AL15" s="210" t="str">
        <f t="shared" si="79"/>
        <v/>
      </c>
      <c r="AM15" s="210" t="str">
        <f>IF(AM36=0,"",IF(AM14&gt;0.95,"O",IF(AM14&lt;0.9,"X","Δ")))</f>
        <v/>
      </c>
      <c r="AO15" s="76" t="str">
        <f t="shared" ref="AO15:AQ15" si="80">IF(AO36=0,"",IF(AO14&gt;0.949,"O",IF(AO14&lt;0.9,"X","Δ")))</f>
        <v>X</v>
      </c>
      <c r="AP15" s="76" t="str">
        <f t="shared" si="80"/>
        <v>O</v>
      </c>
      <c r="AQ15" s="76" t="str">
        <f t="shared" si="80"/>
        <v>X</v>
      </c>
      <c r="AR15" s="76" t="str">
        <f t="shared" ref="AR15:AS15" si="81">IF(AR36=0,"",IF(AR14&gt;0.949,"O",IF(AR14&lt;0.9,"X","Δ")))</f>
        <v>Δ</v>
      </c>
      <c r="AS15" s="76" t="str">
        <f t="shared" si="81"/>
        <v>O</v>
      </c>
      <c r="AT15" s="76" t="str">
        <f t="shared" ref="AT15:AU15" si="82">IF(AT36=0,"",IF(AT14&gt;0.949,"O",IF(AT14&lt;0.9,"X","Δ")))</f>
        <v>O</v>
      </c>
      <c r="AU15" s="76" t="str">
        <f t="shared" si="82"/>
        <v>O</v>
      </c>
      <c r="AV15" s="76" t="str">
        <f t="shared" ref="AV15:AX15" si="83">IF(AV36=0,"",IF(AV14&gt;0.949,"O",IF(AV14&lt;0.9,"X","Δ")))</f>
        <v>O</v>
      </c>
      <c r="AW15" s="76" t="str">
        <f t="shared" si="83"/>
        <v>O</v>
      </c>
      <c r="AX15" s="76" t="str">
        <f t="shared" si="83"/>
        <v>O</v>
      </c>
      <c r="AY15" s="76" t="str">
        <f t="shared" ref="AY15:AZ15" si="84">IF(AY36=0,"",IF(AY14&gt;0.949,"O",IF(AY14&lt;0.9,"X","Δ")))</f>
        <v>X</v>
      </c>
      <c r="AZ15" s="76" t="str">
        <f t="shared" si="84"/>
        <v>X</v>
      </c>
      <c r="BA15" s="76" t="str">
        <f t="shared" ref="BA15:BB15" si="85">IF(BA36=0,"",IF(BA14&gt;0.949,"O",IF(BA14&lt;0.9,"X","Δ")))</f>
        <v/>
      </c>
      <c r="BB15" s="76" t="str">
        <f t="shared" si="85"/>
        <v>X</v>
      </c>
      <c r="BC15" s="76" t="str">
        <f t="shared" ref="BC15:BE15" si="86">IF(BC36=0,"",IF(BC14&gt;0.949,"O",IF(BC14&lt;0.9,"X","Δ")))</f>
        <v>O</v>
      </c>
      <c r="BD15" s="76" t="str">
        <f t="shared" si="86"/>
        <v>O</v>
      </c>
      <c r="BE15" s="76" t="str">
        <f t="shared" si="86"/>
        <v>Δ</v>
      </c>
      <c r="BF15" s="76" t="str">
        <f t="shared" ref="BF15:BG15" si="87">IF(BF36=0,"",IF(BF14&gt;0.949,"O",IF(BF14&lt;0.9,"X","Δ")))</f>
        <v>Δ</v>
      </c>
      <c r="BG15" s="76" t="str">
        <f t="shared" si="87"/>
        <v>O</v>
      </c>
      <c r="BH15" s="76" t="str">
        <f t="shared" ref="BH15:BI15" si="88">IF(BH36=0,"",IF(BH14&gt;0.949,"O",IF(BH14&lt;0.9,"X","Δ")))</f>
        <v>O</v>
      </c>
      <c r="BI15" s="76" t="str">
        <f t="shared" si="88"/>
        <v>O</v>
      </c>
      <c r="BJ15" s="76" t="str">
        <f t="shared" ref="BJ15:BL15" si="89">IF(BJ36=0,"",IF(BJ14&gt;0.949,"O",IF(BJ14&lt;0.9,"X","Δ")))</f>
        <v>X</v>
      </c>
      <c r="BK15" s="76" t="str">
        <f t="shared" si="89"/>
        <v>O</v>
      </c>
      <c r="BL15" s="76" t="str">
        <f t="shared" si="89"/>
        <v>O</v>
      </c>
      <c r="BM15" s="76" t="str">
        <f t="shared" ref="BM15:BN15" si="90">IF(BM36=0,"",IF(BM14&gt;0.949,"O",IF(BM14&lt;0.9,"X","Δ")))</f>
        <v>O</v>
      </c>
      <c r="BN15" s="76" t="str">
        <f t="shared" si="90"/>
        <v>Δ</v>
      </c>
      <c r="BO15" s="76" t="str">
        <f t="shared" ref="BO15:BP15" si="91">IF(BO36=0,"",IF(BO14&gt;0.949,"O",IF(BO14&lt;0.9,"X","Δ")))</f>
        <v>O</v>
      </c>
      <c r="BP15" s="76" t="str">
        <f t="shared" si="91"/>
        <v>O</v>
      </c>
      <c r="BQ15" s="76" t="str">
        <f t="shared" ref="BQ15:BS15" si="92">IF(BQ36=0,"",IF(BQ14&gt;0.949,"O",IF(BQ14&lt;0.9,"X","Δ")))</f>
        <v>Δ</v>
      </c>
      <c r="BR15" s="76" t="str">
        <f t="shared" si="92"/>
        <v>O</v>
      </c>
      <c r="BS15" s="76" t="str">
        <f t="shared" si="92"/>
        <v>X</v>
      </c>
      <c r="BT15" s="76"/>
      <c r="BU15" s="83"/>
    </row>
    <row r="16" spans="1:76" s="77" customFormat="1" ht="194.4" customHeight="1">
      <c r="B16" s="78"/>
      <c r="N16" s="79"/>
      <c r="Q16" s="492"/>
      <c r="R16" s="496" t="s">
        <v>23</v>
      </c>
      <c r="S16" s="80"/>
      <c r="T16" s="81"/>
      <c r="U16" s="81"/>
      <c r="V16" s="179"/>
      <c r="W16" s="179"/>
      <c r="X16" s="197"/>
      <c r="Y16" s="228"/>
      <c r="Z16" s="228"/>
      <c r="AA16" s="228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86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3"/>
    </row>
    <row r="17" spans="2:75" s="77" customFormat="1" ht="32.4" customHeight="1">
      <c r="B17" s="473" t="s">
        <v>69</v>
      </c>
      <c r="C17" s="474"/>
      <c r="D17" s="474"/>
      <c r="E17" s="474"/>
      <c r="F17" s="474"/>
      <c r="G17" s="474"/>
      <c r="H17" s="474"/>
      <c r="I17" s="474"/>
      <c r="J17" s="474"/>
      <c r="K17" s="474"/>
      <c r="L17" s="474"/>
      <c r="M17" s="474"/>
      <c r="N17" s="475"/>
      <c r="Q17" s="492"/>
      <c r="R17" s="496"/>
      <c r="S17" s="87" t="s">
        <v>35</v>
      </c>
      <c r="T17" s="88" t="s">
        <v>36</v>
      </c>
      <c r="U17" s="89" t="s">
        <v>3</v>
      </c>
      <c r="V17" s="180">
        <f t="shared" ref="V17:W20" si="93">V32</f>
        <v>75179.621576280973</v>
      </c>
      <c r="W17" s="180">
        <f t="shared" si="93"/>
        <v>122182.14508727205</v>
      </c>
      <c r="X17" s="198">
        <f>X32</f>
        <v>127029.43207688394</v>
      </c>
      <c r="Y17" s="229">
        <f>Y32</f>
        <v>127310.91890841219</v>
      </c>
      <c r="Z17" s="229">
        <f t="shared" ref="Z17:AA17" si="94">Z32</f>
        <v>159400</v>
      </c>
      <c r="AA17" s="229">
        <f t="shared" si="94"/>
        <v>68335</v>
      </c>
      <c r="AB17" s="212">
        <f>+AB32</f>
        <v>14200</v>
      </c>
      <c r="AC17" s="212">
        <f t="shared" ref="AC17:AE17" si="95">+AC32</f>
        <v>12555</v>
      </c>
      <c r="AD17" s="212">
        <f t="shared" si="95"/>
        <v>14000</v>
      </c>
      <c r="AE17" s="212">
        <f t="shared" si="95"/>
        <v>13580</v>
      </c>
      <c r="AF17" s="212">
        <f t="shared" ref="AF17" si="96">+AF32</f>
        <v>14000</v>
      </c>
      <c r="AG17" s="212">
        <f t="shared" ref="AG17" si="97">+AG32</f>
        <v>0</v>
      </c>
      <c r="AH17" s="212">
        <f t="shared" ref="AH17" si="98">+AH32</f>
        <v>0</v>
      </c>
      <c r="AI17" s="212">
        <f t="shared" ref="AI17" si="99">+AI32</f>
        <v>0</v>
      </c>
      <c r="AJ17" s="212">
        <f t="shared" ref="AJ17:AM17" si="100">+AJ32</f>
        <v>0</v>
      </c>
      <c r="AK17" s="212">
        <f t="shared" si="100"/>
        <v>0</v>
      </c>
      <c r="AL17" s="212">
        <f t="shared" si="100"/>
        <v>0</v>
      </c>
      <c r="AM17" s="212">
        <f t="shared" si="100"/>
        <v>0</v>
      </c>
      <c r="AN17" s="41"/>
      <c r="AO17" s="90">
        <f t="shared" ref="AO17:AO21" si="101">+AN17+AO32</f>
        <v>350</v>
      </c>
      <c r="AP17" s="90">
        <f t="shared" ref="AP17:AP21" si="102">+AO17+AP32</f>
        <v>770</v>
      </c>
      <c r="AQ17" s="90">
        <f t="shared" ref="AQ17:AV21" si="103">+AP17+AQ32</f>
        <v>1250</v>
      </c>
      <c r="AR17" s="90">
        <f t="shared" si="103"/>
        <v>1740</v>
      </c>
      <c r="AS17" s="90">
        <f t="shared" si="103"/>
        <v>2240</v>
      </c>
      <c r="AT17" s="90">
        <f t="shared" si="103"/>
        <v>2760</v>
      </c>
      <c r="AU17" s="90">
        <f t="shared" si="103"/>
        <v>3250</v>
      </c>
      <c r="AV17" s="90">
        <f t="shared" si="103"/>
        <v>3700</v>
      </c>
      <c r="AW17" s="90">
        <f t="shared" ref="AW17:AW21" si="104">+AV17+AW32</f>
        <v>4210</v>
      </c>
      <c r="AX17" s="90">
        <f t="shared" ref="AX17:AZ21" si="105">+AW17+AX32</f>
        <v>4660</v>
      </c>
      <c r="AY17" s="90">
        <f t="shared" si="105"/>
        <v>5140</v>
      </c>
      <c r="AZ17" s="90">
        <f t="shared" si="105"/>
        <v>5440</v>
      </c>
      <c r="BA17" s="90">
        <f t="shared" ref="BA17:BA21" si="106">+AZ17+BA32</f>
        <v>5440</v>
      </c>
      <c r="BB17" s="90">
        <f t="shared" ref="BB17:BC21" si="107">+BA17+BB32</f>
        <v>5830</v>
      </c>
      <c r="BC17" s="90">
        <f t="shared" si="107"/>
        <v>6330</v>
      </c>
      <c r="BD17" s="90">
        <f t="shared" ref="BD17:BD21" si="108">+BC17+BD32</f>
        <v>6630</v>
      </c>
      <c r="BE17" s="90">
        <f t="shared" ref="BE17:BJ21" si="109">+BD17+BE32</f>
        <v>7140</v>
      </c>
      <c r="BF17" s="90">
        <f t="shared" si="109"/>
        <v>7640</v>
      </c>
      <c r="BG17" s="90">
        <f t="shared" si="109"/>
        <v>8100</v>
      </c>
      <c r="BH17" s="90">
        <f t="shared" si="109"/>
        <v>8600</v>
      </c>
      <c r="BI17" s="90">
        <f t="shared" si="109"/>
        <v>9110</v>
      </c>
      <c r="BJ17" s="90">
        <f t="shared" si="109"/>
        <v>9610</v>
      </c>
      <c r="BK17" s="90">
        <f t="shared" ref="BK17:BK21" si="110">+BJ17+BK32</f>
        <v>10140</v>
      </c>
      <c r="BL17" s="90">
        <f t="shared" ref="BL17:BQ21" si="111">+BK17+BL32</f>
        <v>10680</v>
      </c>
      <c r="BM17" s="90">
        <f t="shared" si="111"/>
        <v>11210</v>
      </c>
      <c r="BN17" s="90">
        <f t="shared" si="111"/>
        <v>11690</v>
      </c>
      <c r="BO17" s="90">
        <f t="shared" si="111"/>
        <v>12190</v>
      </c>
      <c r="BP17" s="90">
        <f t="shared" si="111"/>
        <v>12520</v>
      </c>
      <c r="BQ17" s="90">
        <f t="shared" si="111"/>
        <v>13000</v>
      </c>
      <c r="BR17" s="90">
        <f t="shared" ref="BR17:BR21" si="112">+BQ17+BR32</f>
        <v>13500</v>
      </c>
      <c r="BS17" s="90">
        <f t="shared" ref="BS17:BS21" si="113">+BR17+BS32</f>
        <v>14000</v>
      </c>
      <c r="BT17" s="90"/>
      <c r="BU17" s="83"/>
    </row>
    <row r="18" spans="2:75" s="77" customFormat="1" ht="32.4" customHeight="1">
      <c r="B18" s="476"/>
      <c r="C18" s="474"/>
      <c r="D18" s="474"/>
      <c r="E18" s="474"/>
      <c r="F18" s="474"/>
      <c r="G18" s="474"/>
      <c r="H18" s="474"/>
      <c r="I18" s="474"/>
      <c r="J18" s="474"/>
      <c r="K18" s="474"/>
      <c r="L18" s="474"/>
      <c r="M18" s="474"/>
      <c r="N18" s="475"/>
      <c r="Q18" s="492"/>
      <c r="R18" s="496"/>
      <c r="S18" s="531" t="s">
        <v>34</v>
      </c>
      <c r="T18" s="91" t="s">
        <v>33</v>
      </c>
      <c r="U18" s="92" t="s">
        <v>3</v>
      </c>
      <c r="V18" s="181">
        <f t="shared" si="93"/>
        <v>34509.206000000006</v>
      </c>
      <c r="W18" s="181">
        <f t="shared" si="93"/>
        <v>35531.190999999999</v>
      </c>
      <c r="X18" s="199">
        <f t="shared" ref="X18:X19" si="114">X33</f>
        <v>25275.763999999999</v>
      </c>
      <c r="Y18" s="230">
        <f t="shared" ref="Y18:Y20" si="115">Y33</f>
        <v>11767.882</v>
      </c>
      <c r="Z18" s="230">
        <f t="shared" ref="Z18:AA18" si="116">Z33</f>
        <v>15186.893000000002</v>
      </c>
      <c r="AA18" s="230">
        <f t="shared" si="116"/>
        <v>5053.3339999999998</v>
      </c>
      <c r="AB18" s="213">
        <f>+AB33</f>
        <v>1002.502</v>
      </c>
      <c r="AC18" s="213">
        <f t="shared" ref="AC18:AE18" si="117">+AC33</f>
        <v>722.14099999999985</v>
      </c>
      <c r="AD18" s="213">
        <f t="shared" si="117"/>
        <v>732.62900000000002</v>
      </c>
      <c r="AE18" s="213">
        <f t="shared" si="117"/>
        <v>1654.5599999999997</v>
      </c>
      <c r="AF18" s="213">
        <f t="shared" ref="AF18" si="118">+AF33</f>
        <v>941.50200000000007</v>
      </c>
      <c r="AG18" s="213">
        <f t="shared" ref="AG18" si="119">+AG33</f>
        <v>3.7174642220621939E-3</v>
      </c>
      <c r="AH18" s="213">
        <f t="shared" ref="AH18" si="120">+AH33</f>
        <v>2.6678313656171418E-4</v>
      </c>
      <c r="AI18" s="213">
        <f t="shared" ref="AI18" si="121">+AI33</f>
        <v>0</v>
      </c>
      <c r="AJ18" s="213">
        <f t="shared" ref="AJ18:AM18" si="122">+AJ33</f>
        <v>0</v>
      </c>
      <c r="AK18" s="213">
        <f t="shared" si="122"/>
        <v>0</v>
      </c>
      <c r="AL18" s="213">
        <f t="shared" si="122"/>
        <v>0</v>
      </c>
      <c r="AM18" s="213">
        <f t="shared" si="122"/>
        <v>0</v>
      </c>
      <c r="AN18" s="93"/>
      <c r="AO18" s="94">
        <f t="shared" si="101"/>
        <v>225.113</v>
      </c>
      <c r="AP18" s="94">
        <f t="shared" si="102"/>
        <v>295.44100000000003</v>
      </c>
      <c r="AQ18" s="94">
        <f t="shared" si="103"/>
        <v>304.96500000000003</v>
      </c>
      <c r="AR18" s="94">
        <f t="shared" si="103"/>
        <v>304.96500000000003</v>
      </c>
      <c r="AS18" s="94">
        <f t="shared" si="103"/>
        <v>304.96500000000003</v>
      </c>
      <c r="AT18" s="94">
        <f t="shared" si="103"/>
        <v>304.96500000000003</v>
      </c>
      <c r="AU18" s="94">
        <f t="shared" si="103"/>
        <v>304.96500000000003</v>
      </c>
      <c r="AV18" s="94">
        <f t="shared" si="103"/>
        <v>304.96500000000003</v>
      </c>
      <c r="AW18" s="94">
        <f t="shared" si="104"/>
        <v>304.96500000000003</v>
      </c>
      <c r="AX18" s="94">
        <f t="shared" si="105"/>
        <v>304.96500000000003</v>
      </c>
      <c r="AY18" s="94">
        <f t="shared" si="105"/>
        <v>304.96500000000003</v>
      </c>
      <c r="AZ18" s="94">
        <f t="shared" si="105"/>
        <v>468.84800000000007</v>
      </c>
      <c r="BA18" s="94">
        <f t="shared" si="106"/>
        <v>468.84800000000007</v>
      </c>
      <c r="BB18" s="94">
        <f t="shared" si="107"/>
        <v>556.92100000000005</v>
      </c>
      <c r="BC18" s="94">
        <f t="shared" si="107"/>
        <v>556.92100000000005</v>
      </c>
      <c r="BD18" s="94">
        <f t="shared" si="108"/>
        <v>705.18299999999999</v>
      </c>
      <c r="BE18" s="94">
        <f t="shared" si="109"/>
        <v>705.18299999999999</v>
      </c>
      <c r="BF18" s="94">
        <f t="shared" si="109"/>
        <v>705.18299999999999</v>
      </c>
      <c r="BG18" s="94">
        <f t="shared" si="109"/>
        <v>705.18299999999999</v>
      </c>
      <c r="BH18" s="94">
        <f t="shared" si="109"/>
        <v>705.18299999999999</v>
      </c>
      <c r="BI18" s="94">
        <f t="shared" si="109"/>
        <v>705.18299999999999</v>
      </c>
      <c r="BJ18" s="94">
        <f t="shared" si="109"/>
        <v>705.18299999999999</v>
      </c>
      <c r="BK18" s="94">
        <f t="shared" si="110"/>
        <v>705.18299999999999</v>
      </c>
      <c r="BL18" s="94">
        <f t="shared" si="111"/>
        <v>705.18299999999999</v>
      </c>
      <c r="BM18" s="94">
        <f t="shared" si="111"/>
        <v>705.18299999999999</v>
      </c>
      <c r="BN18" s="94">
        <f t="shared" si="111"/>
        <v>705.18299999999999</v>
      </c>
      <c r="BO18" s="94">
        <f t="shared" si="111"/>
        <v>751.63</v>
      </c>
      <c r="BP18" s="94">
        <f t="shared" si="111"/>
        <v>906.66100000000006</v>
      </c>
      <c r="BQ18" s="94">
        <f t="shared" si="111"/>
        <v>941.50200000000007</v>
      </c>
      <c r="BR18" s="94">
        <f t="shared" si="112"/>
        <v>941.50200000000007</v>
      </c>
      <c r="BS18" s="94">
        <f t="shared" si="113"/>
        <v>941.50200000000007</v>
      </c>
      <c r="BT18" s="94"/>
      <c r="BU18" s="83"/>
    </row>
    <row r="19" spans="2:75" s="77" customFormat="1" ht="32.4" customHeight="1">
      <c r="B19" s="78"/>
      <c r="N19" s="79"/>
      <c r="Q19" s="492"/>
      <c r="R19" s="496"/>
      <c r="S19" s="531"/>
      <c r="T19" s="91" t="s">
        <v>24</v>
      </c>
      <c r="U19" s="92" t="s">
        <v>3</v>
      </c>
      <c r="V19" s="181">
        <f t="shared" si="93"/>
        <v>31552.497999999996</v>
      </c>
      <c r="W19" s="181">
        <f t="shared" si="93"/>
        <v>82586.796168900008</v>
      </c>
      <c r="X19" s="199">
        <f t="shared" si="114"/>
        <v>90749.445000000007</v>
      </c>
      <c r="Y19" s="230">
        <f t="shared" si="115"/>
        <v>90236.047999999981</v>
      </c>
      <c r="Z19" s="230">
        <f t="shared" ref="Z19:AA19" si="123">Z34</f>
        <v>113789.605</v>
      </c>
      <c r="AA19" s="230">
        <f t="shared" si="123"/>
        <v>51853.367999999995</v>
      </c>
      <c r="AB19" s="213">
        <f>+AB34</f>
        <v>10011.423000000001</v>
      </c>
      <c r="AC19" s="213">
        <f t="shared" ref="AC19:AE19" si="124">+AC34</f>
        <v>9960.3149999999987</v>
      </c>
      <c r="AD19" s="213">
        <f t="shared" si="124"/>
        <v>11050.316000000001</v>
      </c>
      <c r="AE19" s="213">
        <f t="shared" si="124"/>
        <v>9685.9539999999997</v>
      </c>
      <c r="AF19" s="213">
        <f t="shared" ref="AF19" si="125">+AF34</f>
        <v>11145.36</v>
      </c>
      <c r="AG19" s="213">
        <f t="shared" ref="AG19" si="126">+AG34</f>
        <v>1.5950583920124609E-2</v>
      </c>
      <c r="AH19" s="213">
        <f t="shared" ref="AH19" si="127">+AH34</f>
        <v>1.35506777435025E-2</v>
      </c>
      <c r="AI19" s="213">
        <f t="shared" ref="AI19" si="128">+AI34</f>
        <v>0</v>
      </c>
      <c r="AJ19" s="213">
        <f t="shared" ref="AJ19:AM19" si="129">+AJ34</f>
        <v>0</v>
      </c>
      <c r="AK19" s="213">
        <f t="shared" si="129"/>
        <v>0</v>
      </c>
      <c r="AL19" s="213">
        <f t="shared" si="129"/>
        <v>0</v>
      </c>
      <c r="AM19" s="213">
        <f t="shared" si="129"/>
        <v>0</v>
      </c>
      <c r="AN19" s="93"/>
      <c r="AO19" s="94">
        <f t="shared" si="101"/>
        <v>87.174999999999997</v>
      </c>
      <c r="AP19" s="94">
        <f t="shared" si="102"/>
        <v>420.77600000000001</v>
      </c>
      <c r="AQ19" s="94">
        <f t="shared" si="103"/>
        <v>820.68000000000006</v>
      </c>
      <c r="AR19" s="94">
        <f t="shared" si="103"/>
        <v>1272.806</v>
      </c>
      <c r="AS19" s="94">
        <f t="shared" si="103"/>
        <v>1780.3310000000001</v>
      </c>
      <c r="AT19" s="94">
        <f t="shared" si="103"/>
        <v>2296.7580000000003</v>
      </c>
      <c r="AU19" s="94">
        <f t="shared" si="103"/>
        <v>2787.8630000000003</v>
      </c>
      <c r="AV19" s="94">
        <f t="shared" si="103"/>
        <v>3223.6610000000001</v>
      </c>
      <c r="AW19" s="94">
        <f t="shared" si="104"/>
        <v>3712.893</v>
      </c>
      <c r="AX19" s="94">
        <f t="shared" si="105"/>
        <v>4150.4690000000001</v>
      </c>
      <c r="AY19" s="94">
        <f t="shared" si="105"/>
        <v>4566.692</v>
      </c>
      <c r="AZ19" s="94">
        <f t="shared" si="105"/>
        <v>4656.6319999999996</v>
      </c>
      <c r="BA19" s="94">
        <f t="shared" si="106"/>
        <v>4656.6319999999996</v>
      </c>
      <c r="BB19" s="94">
        <f t="shared" si="107"/>
        <v>4838.8359999999993</v>
      </c>
      <c r="BC19" s="94">
        <f t="shared" si="107"/>
        <v>5320.57</v>
      </c>
      <c r="BD19" s="94">
        <f t="shared" si="108"/>
        <v>5458.4470000000001</v>
      </c>
      <c r="BE19" s="94">
        <f t="shared" si="109"/>
        <v>5931.7560000000003</v>
      </c>
      <c r="BF19" s="94">
        <f t="shared" si="109"/>
        <v>6404.9250000000002</v>
      </c>
      <c r="BG19" s="94">
        <f t="shared" si="109"/>
        <v>6858.8320000000003</v>
      </c>
      <c r="BH19" s="94">
        <f t="shared" si="109"/>
        <v>7353.5309999999999</v>
      </c>
      <c r="BI19" s="94">
        <f t="shared" si="109"/>
        <v>7838.4920000000002</v>
      </c>
      <c r="BJ19" s="94">
        <f t="shared" si="109"/>
        <v>8265.3430000000008</v>
      </c>
      <c r="BK19" s="94">
        <f t="shared" si="110"/>
        <v>8775.4180000000015</v>
      </c>
      <c r="BL19" s="94">
        <f t="shared" si="111"/>
        <v>9301.3460000000014</v>
      </c>
      <c r="BM19" s="94">
        <f t="shared" si="111"/>
        <v>9819.2290000000012</v>
      </c>
      <c r="BN19" s="94">
        <f t="shared" si="111"/>
        <v>10256.569000000001</v>
      </c>
      <c r="BO19" s="94">
        <f t="shared" si="111"/>
        <v>10691.179000000002</v>
      </c>
      <c r="BP19" s="94">
        <f t="shared" si="111"/>
        <v>10851.676000000001</v>
      </c>
      <c r="BQ19" s="94">
        <f t="shared" si="111"/>
        <v>11145.36</v>
      </c>
      <c r="BR19" s="94">
        <f t="shared" si="112"/>
        <v>11145.36</v>
      </c>
      <c r="BS19" s="94">
        <f t="shared" si="113"/>
        <v>11145.36</v>
      </c>
      <c r="BT19" s="94"/>
      <c r="BU19" s="83"/>
    </row>
    <row r="20" spans="2:75" s="77" customFormat="1" ht="32.4" customHeight="1">
      <c r="B20" s="78"/>
      <c r="N20" s="79"/>
      <c r="Q20" s="492"/>
      <c r="R20" s="496"/>
      <c r="S20" s="531"/>
      <c r="T20" s="91" t="s">
        <v>100</v>
      </c>
      <c r="U20" s="92" t="s">
        <v>3</v>
      </c>
      <c r="V20" s="181">
        <f t="shared" si="93"/>
        <v>0</v>
      </c>
      <c r="W20" s="181">
        <f t="shared" si="93"/>
        <v>847.14900000000011</v>
      </c>
      <c r="X20" s="199">
        <f>X35</f>
        <v>7819.05</v>
      </c>
      <c r="Y20" s="230">
        <f t="shared" si="115"/>
        <v>18734.028000000002</v>
      </c>
      <c r="Z20" s="230">
        <f t="shared" ref="Z20:AA20" si="130">Z35</f>
        <v>19060.960999999999</v>
      </c>
      <c r="AA20" s="230">
        <f t="shared" si="130"/>
        <v>7749.82</v>
      </c>
      <c r="AB20" s="213">
        <f>+AB35</f>
        <v>2109.2739999999999</v>
      </c>
      <c r="AC20" s="213">
        <f t="shared" ref="AC20:AE20" si="131">+AC35</f>
        <v>1394.903</v>
      </c>
      <c r="AD20" s="213">
        <f t="shared" si="131"/>
        <v>1528.1390000000001</v>
      </c>
      <c r="AE20" s="213">
        <f t="shared" si="131"/>
        <v>1685.0959999999998</v>
      </c>
      <c r="AF20" s="213">
        <f t="shared" ref="AF20" si="132">+AF35</f>
        <v>1032.4079999999999</v>
      </c>
      <c r="AG20" s="213">
        <f t="shared" ref="AG20" si="133">+AG35</f>
        <v>8.8434029957148733E-2</v>
      </c>
      <c r="AH20" s="213">
        <f t="shared" ref="AH20" si="134">+AH35</f>
        <v>6.9592286765955726E-3</v>
      </c>
      <c r="AI20" s="213">
        <f t="shared" ref="AI20" si="135">+AI35</f>
        <v>0</v>
      </c>
      <c r="AJ20" s="213">
        <f t="shared" ref="AJ20:AM20" si="136">+AJ35</f>
        <v>0</v>
      </c>
      <c r="AK20" s="213">
        <f t="shared" si="136"/>
        <v>0</v>
      </c>
      <c r="AL20" s="213">
        <f t="shared" si="136"/>
        <v>0</v>
      </c>
      <c r="AM20" s="213">
        <f t="shared" si="136"/>
        <v>0</v>
      </c>
      <c r="AN20" s="93"/>
      <c r="AO20" s="94">
        <f t="shared" si="101"/>
        <v>0</v>
      </c>
      <c r="AP20" s="94">
        <f t="shared" si="102"/>
        <v>0</v>
      </c>
      <c r="AQ20" s="94">
        <f t="shared" si="103"/>
        <v>0</v>
      </c>
      <c r="AR20" s="94">
        <f t="shared" si="103"/>
        <v>0</v>
      </c>
      <c r="AS20" s="94">
        <f t="shared" si="103"/>
        <v>0</v>
      </c>
      <c r="AT20" s="94">
        <f t="shared" si="103"/>
        <v>0</v>
      </c>
      <c r="AU20" s="94">
        <f t="shared" si="103"/>
        <v>0</v>
      </c>
      <c r="AV20" s="94">
        <f t="shared" si="103"/>
        <v>0</v>
      </c>
      <c r="AW20" s="94">
        <f t="shared" si="104"/>
        <v>0</v>
      </c>
      <c r="AX20" s="94">
        <f t="shared" si="105"/>
        <v>0</v>
      </c>
      <c r="AY20" s="94">
        <f t="shared" si="105"/>
        <v>0</v>
      </c>
      <c r="AZ20" s="94">
        <f t="shared" si="105"/>
        <v>0</v>
      </c>
      <c r="BA20" s="94">
        <f t="shared" si="106"/>
        <v>0</v>
      </c>
      <c r="BB20" s="94">
        <f t="shared" si="107"/>
        <v>0</v>
      </c>
      <c r="BC20" s="94">
        <f t="shared" si="107"/>
        <v>0</v>
      </c>
      <c r="BD20" s="94">
        <f t="shared" si="108"/>
        <v>0</v>
      </c>
      <c r="BE20" s="94">
        <f t="shared" si="109"/>
        <v>0</v>
      </c>
      <c r="BF20" s="94">
        <f t="shared" si="109"/>
        <v>0</v>
      </c>
      <c r="BG20" s="94">
        <f t="shared" si="109"/>
        <v>0</v>
      </c>
      <c r="BH20" s="94">
        <f t="shared" si="109"/>
        <v>0</v>
      </c>
      <c r="BI20" s="94">
        <f t="shared" si="109"/>
        <v>0</v>
      </c>
      <c r="BJ20" s="94">
        <f t="shared" si="109"/>
        <v>0</v>
      </c>
      <c r="BK20" s="94">
        <f t="shared" si="110"/>
        <v>0</v>
      </c>
      <c r="BL20" s="94">
        <f t="shared" si="111"/>
        <v>0</v>
      </c>
      <c r="BM20" s="94">
        <f t="shared" si="111"/>
        <v>0</v>
      </c>
      <c r="BN20" s="94">
        <f t="shared" si="111"/>
        <v>0</v>
      </c>
      <c r="BO20" s="94">
        <f t="shared" si="111"/>
        <v>0</v>
      </c>
      <c r="BP20" s="94">
        <f t="shared" si="111"/>
        <v>0</v>
      </c>
      <c r="BQ20" s="94">
        <f t="shared" si="111"/>
        <v>119.193</v>
      </c>
      <c r="BR20" s="94">
        <f t="shared" si="112"/>
        <v>603.73400000000004</v>
      </c>
      <c r="BS20" s="94">
        <f t="shared" si="113"/>
        <v>1032.4079999999999</v>
      </c>
      <c r="BT20" s="94"/>
      <c r="BU20" s="83"/>
    </row>
    <row r="21" spans="2:75" s="77" customFormat="1" ht="32.4" customHeight="1">
      <c r="B21" s="78"/>
      <c r="N21" s="79"/>
      <c r="Q21" s="492"/>
      <c r="R21" s="496"/>
      <c r="S21" s="531"/>
      <c r="T21" s="95" t="s">
        <v>32</v>
      </c>
      <c r="U21" s="96" t="s">
        <v>3</v>
      </c>
      <c r="V21" s="182">
        <f t="shared" ref="V21:AB21" si="137">SUM(V18:V20)</f>
        <v>66061.703999999998</v>
      </c>
      <c r="W21" s="182">
        <f t="shared" si="137"/>
        <v>118965.1361689</v>
      </c>
      <c r="X21" s="200">
        <f t="shared" si="137"/>
        <v>123844.25900000001</v>
      </c>
      <c r="Y21" s="231">
        <f t="shared" si="137"/>
        <v>120737.95799999998</v>
      </c>
      <c r="Z21" s="231">
        <f t="shared" ref="Z21:AA21" si="138">SUM(Z18:Z20)</f>
        <v>148037.459</v>
      </c>
      <c r="AA21" s="231">
        <f t="shared" si="138"/>
        <v>64656.521999999997</v>
      </c>
      <c r="AB21" s="214">
        <f t="shared" si="137"/>
        <v>13123.199000000001</v>
      </c>
      <c r="AC21" s="214">
        <f t="shared" ref="AC21:AE21" si="139">SUM(AC18:AC20)</f>
        <v>12077.358999999999</v>
      </c>
      <c r="AD21" s="214">
        <f t="shared" si="139"/>
        <v>13311.084000000003</v>
      </c>
      <c r="AE21" s="214">
        <f t="shared" si="139"/>
        <v>13025.609999999999</v>
      </c>
      <c r="AF21" s="214">
        <f t="shared" ref="AF21" si="140">SUM(AF18:AF20)</f>
        <v>13119.27</v>
      </c>
      <c r="AG21" s="214">
        <f t="shared" ref="AG21" si="141">SUM(AG18:AG20)</f>
        <v>0.10810207809933553</v>
      </c>
      <c r="AH21" s="214">
        <f t="shared" ref="AH21" si="142">SUM(AH18:AH20)</f>
        <v>2.0776689556659789E-2</v>
      </c>
      <c r="AI21" s="214">
        <f t="shared" ref="AI21" si="143">SUM(AI18:AI20)</f>
        <v>0</v>
      </c>
      <c r="AJ21" s="214">
        <f t="shared" ref="AJ21:AM21" si="144">SUM(AJ18:AJ20)</f>
        <v>0</v>
      </c>
      <c r="AK21" s="214">
        <f t="shared" si="144"/>
        <v>0</v>
      </c>
      <c r="AL21" s="214">
        <f t="shared" si="144"/>
        <v>0</v>
      </c>
      <c r="AM21" s="214">
        <f t="shared" si="144"/>
        <v>0</v>
      </c>
      <c r="AN21" s="93"/>
      <c r="AO21" s="97">
        <f t="shared" si="101"/>
        <v>312.28800000000001</v>
      </c>
      <c r="AP21" s="97">
        <f t="shared" si="102"/>
        <v>716.21699999999998</v>
      </c>
      <c r="AQ21" s="97">
        <f t="shared" si="103"/>
        <v>1125.645</v>
      </c>
      <c r="AR21" s="97">
        <f t="shared" si="103"/>
        <v>1577.771</v>
      </c>
      <c r="AS21" s="97">
        <f t="shared" si="103"/>
        <v>2085.2959999999998</v>
      </c>
      <c r="AT21" s="97">
        <f t="shared" si="103"/>
        <v>2601.723</v>
      </c>
      <c r="AU21" s="97">
        <f t="shared" si="103"/>
        <v>3092.828</v>
      </c>
      <c r="AV21" s="97">
        <f t="shared" si="103"/>
        <v>3528.6260000000002</v>
      </c>
      <c r="AW21" s="97">
        <f t="shared" si="104"/>
        <v>4017.8580000000002</v>
      </c>
      <c r="AX21" s="97">
        <f t="shared" si="105"/>
        <v>4455.4340000000002</v>
      </c>
      <c r="AY21" s="97">
        <f t="shared" si="105"/>
        <v>4871.6570000000002</v>
      </c>
      <c r="AZ21" s="97">
        <f t="shared" si="105"/>
        <v>5125.4800000000005</v>
      </c>
      <c r="BA21" s="97">
        <f t="shared" si="106"/>
        <v>5125.4800000000005</v>
      </c>
      <c r="BB21" s="97">
        <f t="shared" si="107"/>
        <v>5395.7570000000005</v>
      </c>
      <c r="BC21" s="97">
        <f t="shared" si="107"/>
        <v>5877.4910000000009</v>
      </c>
      <c r="BD21" s="97">
        <f t="shared" si="108"/>
        <v>6163.630000000001</v>
      </c>
      <c r="BE21" s="97">
        <f t="shared" si="109"/>
        <v>6636.9390000000012</v>
      </c>
      <c r="BF21" s="97">
        <f t="shared" si="109"/>
        <v>7110.1080000000011</v>
      </c>
      <c r="BG21" s="97">
        <f t="shared" si="109"/>
        <v>7564.0150000000012</v>
      </c>
      <c r="BH21" s="97">
        <f t="shared" si="109"/>
        <v>8058.7140000000009</v>
      </c>
      <c r="BI21" s="97">
        <f t="shared" si="109"/>
        <v>8543.6750000000011</v>
      </c>
      <c r="BJ21" s="97">
        <f t="shared" si="109"/>
        <v>8970.5260000000017</v>
      </c>
      <c r="BK21" s="97">
        <f t="shared" si="110"/>
        <v>9480.6010000000024</v>
      </c>
      <c r="BL21" s="97">
        <f t="shared" si="111"/>
        <v>10006.529000000002</v>
      </c>
      <c r="BM21" s="97">
        <f t="shared" si="111"/>
        <v>10524.412000000002</v>
      </c>
      <c r="BN21" s="97">
        <f t="shared" si="111"/>
        <v>10961.752000000002</v>
      </c>
      <c r="BO21" s="97">
        <f t="shared" si="111"/>
        <v>11442.809000000003</v>
      </c>
      <c r="BP21" s="97">
        <f t="shared" si="111"/>
        <v>11758.337000000003</v>
      </c>
      <c r="BQ21" s="97">
        <f t="shared" si="111"/>
        <v>12206.055000000004</v>
      </c>
      <c r="BR21" s="97">
        <f t="shared" si="112"/>
        <v>12690.596000000003</v>
      </c>
      <c r="BS21" s="97">
        <f t="shared" si="113"/>
        <v>13119.270000000004</v>
      </c>
      <c r="BT21" s="97"/>
      <c r="BU21" s="83"/>
    </row>
    <row r="22" spans="2:75" s="77" customFormat="1" ht="32.4" customHeight="1">
      <c r="B22" s="78"/>
      <c r="N22" s="79"/>
      <c r="Q22" s="492"/>
      <c r="R22" s="496"/>
      <c r="S22" s="532" t="s">
        <v>25</v>
      </c>
      <c r="T22" s="532"/>
      <c r="U22" s="98" t="s">
        <v>3</v>
      </c>
      <c r="V22" s="183">
        <f t="shared" ref="V22:AB22" si="145">V21-V17</f>
        <v>-9117.9175762809755</v>
      </c>
      <c r="W22" s="183">
        <f t="shared" si="145"/>
        <v>-3217.0089183720411</v>
      </c>
      <c r="X22" s="201">
        <f t="shared" si="145"/>
        <v>-3185.1730768839334</v>
      </c>
      <c r="Y22" s="232">
        <f t="shared" si="145"/>
        <v>-6572.9609084122058</v>
      </c>
      <c r="Z22" s="232">
        <f t="shared" ref="Z22:AA22" si="146">Z21-Z17</f>
        <v>-11362.540999999997</v>
      </c>
      <c r="AA22" s="232">
        <f t="shared" si="146"/>
        <v>-3678.4780000000028</v>
      </c>
      <c r="AB22" s="215">
        <f t="shared" si="145"/>
        <v>-1076.8009999999995</v>
      </c>
      <c r="AC22" s="215">
        <f t="shared" ref="AC22:AE22" si="147">AC21-AC17</f>
        <v>-477.64100000000144</v>
      </c>
      <c r="AD22" s="215">
        <f t="shared" si="147"/>
        <v>-688.91599999999744</v>
      </c>
      <c r="AE22" s="215">
        <f t="shared" si="147"/>
        <v>-554.39000000000124</v>
      </c>
      <c r="AF22" s="215">
        <f t="shared" ref="AF22" si="148">AF21-AF17</f>
        <v>-880.72999999999956</v>
      </c>
      <c r="AG22" s="215">
        <f t="shared" ref="AG22" si="149">AG21-AG17</f>
        <v>0.10810207809933553</v>
      </c>
      <c r="AH22" s="215">
        <f t="shared" ref="AH22" si="150">AH21-AH17</f>
        <v>2.0776689556659789E-2</v>
      </c>
      <c r="AI22" s="215">
        <f t="shared" ref="AI22" si="151">AI21-AI17</f>
        <v>0</v>
      </c>
      <c r="AJ22" s="215">
        <f t="shared" ref="AJ22:AM22" si="152">AJ21-AJ17</f>
        <v>0</v>
      </c>
      <c r="AK22" s="215">
        <f t="shared" si="152"/>
        <v>0</v>
      </c>
      <c r="AL22" s="215">
        <f t="shared" si="152"/>
        <v>0</v>
      </c>
      <c r="AM22" s="215">
        <f t="shared" si="152"/>
        <v>0</v>
      </c>
      <c r="AN22" s="41"/>
      <c r="AO22" s="99">
        <f t="shared" ref="AO22:AQ22" si="153">AO21-AO17</f>
        <v>-37.711999999999989</v>
      </c>
      <c r="AP22" s="99">
        <f t="shared" si="153"/>
        <v>-53.783000000000015</v>
      </c>
      <c r="AQ22" s="99">
        <f t="shared" si="153"/>
        <v>-124.35500000000002</v>
      </c>
      <c r="AR22" s="99">
        <f t="shared" ref="AR22:AS22" si="154">AR21-AR17</f>
        <v>-162.22900000000004</v>
      </c>
      <c r="AS22" s="99">
        <f t="shared" si="154"/>
        <v>-154.70400000000018</v>
      </c>
      <c r="AT22" s="99">
        <f t="shared" ref="AT22:AU22" si="155">AT21-AT17</f>
        <v>-158.27700000000004</v>
      </c>
      <c r="AU22" s="99">
        <f t="shared" si="155"/>
        <v>-157.17200000000003</v>
      </c>
      <c r="AV22" s="99">
        <f t="shared" ref="AV22:AX22" si="156">AV21-AV17</f>
        <v>-171.3739999999998</v>
      </c>
      <c r="AW22" s="99">
        <f t="shared" si="156"/>
        <v>-192.14199999999983</v>
      </c>
      <c r="AX22" s="99">
        <f t="shared" si="156"/>
        <v>-204.5659999999998</v>
      </c>
      <c r="AY22" s="99">
        <f t="shared" ref="AY22:AZ22" si="157">AY21-AY17</f>
        <v>-268.34299999999985</v>
      </c>
      <c r="AZ22" s="99">
        <f t="shared" si="157"/>
        <v>-314.51999999999953</v>
      </c>
      <c r="BA22" s="99">
        <f t="shared" ref="BA22:BB22" si="158">BA21-BA17</f>
        <v>-314.51999999999953</v>
      </c>
      <c r="BB22" s="99">
        <f t="shared" si="158"/>
        <v>-434.24299999999948</v>
      </c>
      <c r="BC22" s="99">
        <f t="shared" ref="BC22:BE22" si="159">BC21-BC17</f>
        <v>-452.50899999999911</v>
      </c>
      <c r="BD22" s="99">
        <f t="shared" si="159"/>
        <v>-466.36999999999898</v>
      </c>
      <c r="BE22" s="99">
        <f t="shared" si="159"/>
        <v>-503.06099999999878</v>
      </c>
      <c r="BF22" s="99">
        <f t="shared" ref="BF22:BG22" si="160">BF21-BF17</f>
        <v>-529.89199999999892</v>
      </c>
      <c r="BG22" s="99">
        <f t="shared" si="160"/>
        <v>-535.98499999999876</v>
      </c>
      <c r="BH22" s="99">
        <f t="shared" ref="BH22:BI22" si="161">BH21-BH17</f>
        <v>-541.28599999999915</v>
      </c>
      <c r="BI22" s="99">
        <f t="shared" si="161"/>
        <v>-566.32499999999891</v>
      </c>
      <c r="BJ22" s="99">
        <f t="shared" ref="BJ22:BL22" si="162">BJ21-BJ17</f>
        <v>-639.47399999999834</v>
      </c>
      <c r="BK22" s="99">
        <f t="shared" si="162"/>
        <v>-659.39899999999761</v>
      </c>
      <c r="BL22" s="99">
        <f t="shared" si="162"/>
        <v>-673.47099999999773</v>
      </c>
      <c r="BM22" s="99">
        <f t="shared" ref="BM22:BN22" si="163">BM21-BM17</f>
        <v>-685.58799999999792</v>
      </c>
      <c r="BN22" s="99">
        <f t="shared" si="163"/>
        <v>-728.24799999999777</v>
      </c>
      <c r="BO22" s="99">
        <f t="shared" ref="BO22:BP22" si="164">BO21-BO17</f>
        <v>-747.19099999999708</v>
      </c>
      <c r="BP22" s="99">
        <f t="shared" si="164"/>
        <v>-761.66299999999683</v>
      </c>
      <c r="BQ22" s="99">
        <f t="shared" ref="BQ22:BS22" si="165">BQ21-BQ17</f>
        <v>-793.94499999999607</v>
      </c>
      <c r="BR22" s="99">
        <f t="shared" si="165"/>
        <v>-809.40399999999681</v>
      </c>
      <c r="BS22" s="99">
        <f t="shared" si="165"/>
        <v>-880.72999999999593</v>
      </c>
      <c r="BT22" s="99"/>
      <c r="BU22" s="83"/>
    </row>
    <row r="23" spans="2:75" s="77" customFormat="1" ht="32.4" customHeight="1">
      <c r="B23" s="78"/>
      <c r="N23" s="79"/>
      <c r="Q23" s="492"/>
      <c r="R23" s="470" t="s">
        <v>61</v>
      </c>
      <c r="S23" s="470"/>
      <c r="T23" s="100" t="s">
        <v>16</v>
      </c>
      <c r="U23" s="101" t="s">
        <v>17</v>
      </c>
      <c r="V23" s="184">
        <v>0.95</v>
      </c>
      <c r="W23" s="184">
        <v>0.95</v>
      </c>
      <c r="X23" s="202">
        <v>0.95</v>
      </c>
      <c r="Y23" s="233">
        <v>0.95</v>
      </c>
      <c r="Z23" s="233">
        <v>0.95</v>
      </c>
      <c r="AA23" s="233">
        <v>0.95</v>
      </c>
      <c r="AB23" s="216">
        <v>0.95</v>
      </c>
      <c r="AC23" s="216">
        <v>0.95</v>
      </c>
      <c r="AD23" s="216">
        <v>0.95</v>
      </c>
      <c r="AE23" s="216">
        <v>0.95</v>
      </c>
      <c r="AF23" s="216">
        <v>0.95</v>
      </c>
      <c r="AG23" s="216">
        <v>0.95</v>
      </c>
      <c r="AH23" s="216">
        <v>0.95</v>
      </c>
      <c r="AI23" s="216">
        <v>0.95</v>
      </c>
      <c r="AJ23" s="216">
        <v>0.95</v>
      </c>
      <c r="AK23" s="216">
        <v>0.95</v>
      </c>
      <c r="AL23" s="216">
        <v>0.95</v>
      </c>
      <c r="AM23" s="216">
        <v>0.95</v>
      </c>
      <c r="AN23" s="41"/>
      <c r="AO23" s="102">
        <v>0.95</v>
      </c>
      <c r="AP23" s="102">
        <v>0.95</v>
      </c>
      <c r="AQ23" s="102">
        <v>0.95</v>
      </c>
      <c r="AR23" s="102">
        <v>0.95</v>
      </c>
      <c r="AS23" s="102">
        <v>0.95</v>
      </c>
      <c r="AT23" s="102">
        <v>0.95</v>
      </c>
      <c r="AU23" s="102">
        <v>0.95</v>
      </c>
      <c r="AV23" s="102">
        <v>0.95</v>
      </c>
      <c r="AW23" s="102">
        <v>0.95</v>
      </c>
      <c r="AX23" s="102">
        <v>0.95</v>
      </c>
      <c r="AY23" s="102">
        <v>0.95</v>
      </c>
      <c r="AZ23" s="102">
        <v>0.95</v>
      </c>
      <c r="BA23" s="102">
        <v>0.95</v>
      </c>
      <c r="BB23" s="102">
        <v>0.95</v>
      </c>
      <c r="BC23" s="102">
        <v>0.95</v>
      </c>
      <c r="BD23" s="102">
        <v>0.95</v>
      </c>
      <c r="BE23" s="102">
        <v>0.95</v>
      </c>
      <c r="BF23" s="102">
        <v>0.95</v>
      </c>
      <c r="BG23" s="102">
        <v>0.95</v>
      </c>
      <c r="BH23" s="102">
        <v>0.95</v>
      </c>
      <c r="BI23" s="102">
        <v>0.95</v>
      </c>
      <c r="BJ23" s="102">
        <v>0.95</v>
      </c>
      <c r="BK23" s="102">
        <v>0.95</v>
      </c>
      <c r="BL23" s="102">
        <v>0.95</v>
      </c>
      <c r="BM23" s="102">
        <v>0.95</v>
      </c>
      <c r="BN23" s="102">
        <v>0.95</v>
      </c>
      <c r="BO23" s="102">
        <v>0.95</v>
      </c>
      <c r="BP23" s="102">
        <v>0.95</v>
      </c>
      <c r="BQ23" s="102">
        <v>0.95</v>
      </c>
      <c r="BR23" s="102">
        <v>0.95</v>
      </c>
      <c r="BS23" s="102">
        <v>0.95</v>
      </c>
      <c r="BT23" s="102"/>
      <c r="BU23" s="83"/>
    </row>
    <row r="24" spans="2:75" s="77" customFormat="1" ht="32.4" customHeight="1">
      <c r="B24" s="78"/>
      <c r="N24" s="79"/>
      <c r="Q24" s="492"/>
      <c r="R24" s="470"/>
      <c r="S24" s="470"/>
      <c r="T24" s="100" t="s">
        <v>18</v>
      </c>
      <c r="U24" s="101" t="s">
        <v>17</v>
      </c>
      <c r="V24" s="184">
        <v>0.85</v>
      </c>
      <c r="W24" s="184">
        <v>0.85</v>
      </c>
      <c r="X24" s="202">
        <v>0.85</v>
      </c>
      <c r="Y24" s="233">
        <v>0.85</v>
      </c>
      <c r="Z24" s="233">
        <v>0.85</v>
      </c>
      <c r="AA24" s="233">
        <v>0.85</v>
      </c>
      <c r="AB24" s="216">
        <v>0.85</v>
      </c>
      <c r="AC24" s="216">
        <v>0.85</v>
      </c>
      <c r="AD24" s="216">
        <v>0.85</v>
      </c>
      <c r="AE24" s="216">
        <v>0.85</v>
      </c>
      <c r="AF24" s="216">
        <v>0.85</v>
      </c>
      <c r="AG24" s="216">
        <v>0.85</v>
      </c>
      <c r="AH24" s="216">
        <v>0.85</v>
      </c>
      <c r="AI24" s="216">
        <v>0.85</v>
      </c>
      <c r="AJ24" s="216">
        <v>0.85</v>
      </c>
      <c r="AK24" s="216">
        <v>0.85</v>
      </c>
      <c r="AL24" s="216">
        <v>0.85</v>
      </c>
      <c r="AM24" s="216">
        <v>0.85</v>
      </c>
      <c r="AN24" s="41"/>
      <c r="AO24" s="102">
        <v>0.85</v>
      </c>
      <c r="AP24" s="102">
        <v>0.85</v>
      </c>
      <c r="AQ24" s="102">
        <v>0.85</v>
      </c>
      <c r="AR24" s="102">
        <v>0.85</v>
      </c>
      <c r="AS24" s="102">
        <v>0.85</v>
      </c>
      <c r="AT24" s="102">
        <v>0.85</v>
      </c>
      <c r="AU24" s="102">
        <v>0.85</v>
      </c>
      <c r="AV24" s="102">
        <v>0.85</v>
      </c>
      <c r="AW24" s="102">
        <v>0.85</v>
      </c>
      <c r="AX24" s="102">
        <v>0.85</v>
      </c>
      <c r="AY24" s="102">
        <v>0.85</v>
      </c>
      <c r="AZ24" s="102">
        <v>0.85</v>
      </c>
      <c r="BA24" s="102">
        <v>0.85</v>
      </c>
      <c r="BB24" s="102">
        <v>0.85</v>
      </c>
      <c r="BC24" s="102">
        <v>0.85</v>
      </c>
      <c r="BD24" s="102">
        <v>0.85</v>
      </c>
      <c r="BE24" s="102">
        <v>0.85</v>
      </c>
      <c r="BF24" s="102">
        <v>0.85</v>
      </c>
      <c r="BG24" s="102">
        <v>0.85</v>
      </c>
      <c r="BH24" s="102">
        <v>0.85</v>
      </c>
      <c r="BI24" s="102">
        <v>0.85</v>
      </c>
      <c r="BJ24" s="102">
        <v>0.85</v>
      </c>
      <c r="BK24" s="102">
        <v>0.85</v>
      </c>
      <c r="BL24" s="102">
        <v>0.85</v>
      </c>
      <c r="BM24" s="102">
        <v>0.85</v>
      </c>
      <c r="BN24" s="102">
        <v>0.85</v>
      </c>
      <c r="BO24" s="102">
        <v>0.85</v>
      </c>
      <c r="BP24" s="102">
        <v>0.85</v>
      </c>
      <c r="BQ24" s="102">
        <v>0.85</v>
      </c>
      <c r="BR24" s="102">
        <v>0.85</v>
      </c>
      <c r="BS24" s="102">
        <v>0.85</v>
      </c>
      <c r="BT24" s="102"/>
      <c r="BU24" s="83"/>
    </row>
    <row r="25" spans="2:75" s="77" customFormat="1" ht="32.4" customHeight="1">
      <c r="B25" s="78"/>
      <c r="N25" s="79"/>
      <c r="Q25" s="492"/>
      <c r="R25" s="525" t="s">
        <v>31</v>
      </c>
      <c r="S25" s="526"/>
      <c r="T25" s="103" t="s">
        <v>29</v>
      </c>
      <c r="U25" s="104" t="s">
        <v>1</v>
      </c>
      <c r="V25" s="185">
        <f>'Data NĂM'!F4</f>
        <v>225</v>
      </c>
      <c r="W25" s="185">
        <f>'Data NĂM'!G4</f>
        <v>342</v>
      </c>
      <c r="X25" s="203">
        <f>'Data NĂM'!H4</f>
        <v>356</v>
      </c>
      <c r="Y25" s="234">
        <f>'Data NĂM'!I4</f>
        <v>326</v>
      </c>
      <c r="Z25" s="234">
        <f>'Data NĂM'!J4</f>
        <v>492</v>
      </c>
      <c r="AA25" s="234">
        <f>'Data NĂM'!K4</f>
        <v>0</v>
      </c>
      <c r="AB25" s="217">
        <f>+'Data NĂM'!BP4</f>
        <v>30</v>
      </c>
      <c r="AC25" s="217">
        <f>+'Data NĂM'!BT4</f>
        <v>30</v>
      </c>
      <c r="AD25" s="217">
        <f>+'Data NĂM'!BU4</f>
        <v>0</v>
      </c>
      <c r="AE25" s="217">
        <f>+'Data NĂM'!BV4</f>
        <v>0</v>
      </c>
      <c r="AF25" s="217">
        <f>+'Data NĂM'!BW4</f>
        <v>0</v>
      </c>
      <c r="AG25" s="217">
        <f>+'Data NĂM'!BY4</f>
        <v>0</v>
      </c>
      <c r="AH25" s="217">
        <f>+'Data NĂM'!BZ4</f>
        <v>0</v>
      </c>
      <c r="AI25" s="217">
        <f>+'Data NĂM'!CA4</f>
        <v>0</v>
      </c>
      <c r="AJ25" s="217">
        <f>+'Data NĂM'!CB4</f>
        <v>0</v>
      </c>
      <c r="AK25" s="217">
        <f>+'Data NĂM'!CC4</f>
        <v>0</v>
      </c>
      <c r="AL25" s="217">
        <f>+'Data NĂM'!CD4</f>
        <v>0</v>
      </c>
      <c r="AM25" s="217">
        <f>+'Data NĂM'!CE4</f>
        <v>0</v>
      </c>
      <c r="AN25" s="41"/>
      <c r="AO25" s="105">
        <f>'5.26'!G4</f>
        <v>1</v>
      </c>
      <c r="AP25" s="105">
        <f>'5.26'!H4</f>
        <v>1</v>
      </c>
      <c r="AQ25" s="105">
        <f>'5.26'!I4</f>
        <v>1</v>
      </c>
      <c r="AR25" s="105">
        <f>'5.26'!J4</f>
        <v>1</v>
      </c>
      <c r="AS25" s="105">
        <f>'5.26'!K4</f>
        <v>1</v>
      </c>
      <c r="AT25" s="105">
        <f>'5.26'!L4</f>
        <v>1</v>
      </c>
      <c r="AU25" s="105">
        <f>'5.26'!M4</f>
        <v>1</v>
      </c>
      <c r="AV25" s="105">
        <f>'5.26'!N4</f>
        <v>1</v>
      </c>
      <c r="AW25" s="105">
        <f>'5.26'!O4</f>
        <v>1</v>
      </c>
      <c r="AX25" s="105">
        <f>'5.26'!P4</f>
        <v>1</v>
      </c>
      <c r="AY25" s="105">
        <f>'5.26'!Q4</f>
        <v>1</v>
      </c>
      <c r="AZ25" s="105">
        <f>'5.26'!R4</f>
        <v>1</v>
      </c>
      <c r="BA25" s="105">
        <f>'5.26'!S4</f>
        <v>0</v>
      </c>
      <c r="BB25" s="105">
        <f>'5.26'!T4</f>
        <v>1</v>
      </c>
      <c r="BC25" s="105">
        <f>'5.26'!U4</f>
        <v>1</v>
      </c>
      <c r="BD25" s="105">
        <f>'5.26'!V4</f>
        <v>1</v>
      </c>
      <c r="BE25" s="105">
        <f>'5.26'!W4</f>
        <v>1</v>
      </c>
      <c r="BF25" s="105">
        <f>'5.26'!X4</f>
        <v>1</v>
      </c>
      <c r="BG25" s="105">
        <f>'5.26'!Y4</f>
        <v>1</v>
      </c>
      <c r="BH25" s="105">
        <f>'5.26'!Z4</f>
        <v>1</v>
      </c>
      <c r="BI25" s="105">
        <f>'5.26'!AA4</f>
        <v>1</v>
      </c>
      <c r="BJ25" s="105">
        <f>'5.26'!AB4</f>
        <v>1</v>
      </c>
      <c r="BK25" s="105">
        <f>'5.26'!AC4</f>
        <v>1</v>
      </c>
      <c r="BL25" s="105">
        <f>'5.26'!AD4</f>
        <v>1</v>
      </c>
      <c r="BM25" s="105">
        <f>'5.26'!AE4</f>
        <v>1</v>
      </c>
      <c r="BN25" s="105">
        <f>'5.26'!AF4</f>
        <v>1</v>
      </c>
      <c r="BO25" s="105">
        <f>'5.26'!AG4</f>
        <v>1</v>
      </c>
      <c r="BP25" s="105">
        <f>'5.26'!AH4</f>
        <v>1</v>
      </c>
      <c r="BQ25" s="105">
        <f>'5.26'!AI4</f>
        <v>1</v>
      </c>
      <c r="BR25" s="105">
        <f>'5.26'!AJ4</f>
        <v>1</v>
      </c>
      <c r="BS25" s="105">
        <f>'5.26'!AK4</f>
        <v>1</v>
      </c>
      <c r="BT25" s="105">
        <f>'5.26'!AL4</f>
        <v>0</v>
      </c>
      <c r="BU25" s="83"/>
    </row>
    <row r="26" spans="2:75" s="77" customFormat="1" ht="32.4" customHeight="1">
      <c r="B26" s="78"/>
      <c r="N26" s="79"/>
      <c r="Q26" s="492"/>
      <c r="R26" s="527"/>
      <c r="S26" s="528"/>
      <c r="T26" s="103" t="s">
        <v>30</v>
      </c>
      <c r="U26" s="104" t="s">
        <v>1</v>
      </c>
      <c r="V26" s="185">
        <f>'Data NĂM'!F5</f>
        <v>118</v>
      </c>
      <c r="W26" s="185">
        <f>'Data NĂM'!G5</f>
        <v>311</v>
      </c>
      <c r="X26" s="203">
        <f>'Data NĂM'!H5</f>
        <v>324</v>
      </c>
      <c r="Y26" s="234">
        <f>'Data NĂM'!I5</f>
        <v>318</v>
      </c>
      <c r="Z26" s="234">
        <f>'Data NĂM'!J5</f>
        <v>487</v>
      </c>
      <c r="AA26" s="234">
        <f>'Data NĂM'!K5</f>
        <v>0</v>
      </c>
      <c r="AB26" s="217">
        <f>+'Data NĂM'!BP5</f>
        <v>30</v>
      </c>
      <c r="AC26" s="217">
        <f>+'Data NĂM'!BT5</f>
        <v>30</v>
      </c>
      <c r="AD26" s="217">
        <f>+'Data NĂM'!BU5</f>
        <v>0</v>
      </c>
      <c r="AE26" s="217">
        <f>+'Data NĂM'!BV5</f>
        <v>0</v>
      </c>
      <c r="AF26" s="217">
        <f>+'Data NĂM'!BW5</f>
        <v>0</v>
      </c>
      <c r="AG26" s="217">
        <f>+'Data NĂM'!BY5</f>
        <v>0</v>
      </c>
      <c r="AH26" s="217">
        <f>+'Data NĂM'!BZ5</f>
        <v>0</v>
      </c>
      <c r="AI26" s="217">
        <f>+'Data NĂM'!CA5</f>
        <v>0</v>
      </c>
      <c r="AJ26" s="217">
        <f>+'Data NĂM'!CB5</f>
        <v>0</v>
      </c>
      <c r="AK26" s="217">
        <f>+'Data NĂM'!CC5</f>
        <v>0</v>
      </c>
      <c r="AL26" s="217">
        <f>+'Data NĂM'!CD5</f>
        <v>0</v>
      </c>
      <c r="AM26" s="217">
        <f>+'Data NĂM'!CE5</f>
        <v>0</v>
      </c>
      <c r="AN26" s="106"/>
      <c r="AO26" s="105">
        <f>'5.26'!G5</f>
        <v>1</v>
      </c>
      <c r="AP26" s="105">
        <f>'5.26'!H5</f>
        <v>1</v>
      </c>
      <c r="AQ26" s="105">
        <f>'5.26'!I5</f>
        <v>1</v>
      </c>
      <c r="AR26" s="105">
        <f>'5.26'!J5</f>
        <v>1</v>
      </c>
      <c r="AS26" s="105">
        <f>'5.26'!K5</f>
        <v>1</v>
      </c>
      <c r="AT26" s="105">
        <f>'5.26'!L5</f>
        <v>1</v>
      </c>
      <c r="AU26" s="105">
        <f>'5.26'!M5</f>
        <v>1</v>
      </c>
      <c r="AV26" s="105">
        <f>'5.26'!N5</f>
        <v>1</v>
      </c>
      <c r="AW26" s="105">
        <f>'5.26'!O5</f>
        <v>1</v>
      </c>
      <c r="AX26" s="105">
        <f>'5.26'!P5</f>
        <v>1</v>
      </c>
      <c r="AY26" s="105">
        <f>'5.26'!Q5</f>
        <v>1</v>
      </c>
      <c r="AZ26" s="105">
        <f>'5.26'!R5</f>
        <v>1</v>
      </c>
      <c r="BA26" s="105">
        <f>'5.26'!S5</f>
        <v>0</v>
      </c>
      <c r="BB26" s="105">
        <f>'5.26'!T5</f>
        <v>1</v>
      </c>
      <c r="BC26" s="105">
        <f>'5.26'!U5</f>
        <v>1</v>
      </c>
      <c r="BD26" s="105">
        <f>'5.26'!V5</f>
        <v>1</v>
      </c>
      <c r="BE26" s="105">
        <f>'5.26'!W5</f>
        <v>1</v>
      </c>
      <c r="BF26" s="105">
        <f>'5.26'!X5</f>
        <v>1</v>
      </c>
      <c r="BG26" s="105">
        <f>'5.26'!Y5</f>
        <v>1</v>
      </c>
      <c r="BH26" s="105">
        <f>'5.26'!Z5</f>
        <v>1</v>
      </c>
      <c r="BI26" s="105">
        <f>'5.26'!AA5</f>
        <v>1</v>
      </c>
      <c r="BJ26" s="105">
        <f>'5.26'!AB5</f>
        <v>1</v>
      </c>
      <c r="BK26" s="105">
        <f>'5.26'!AC5</f>
        <v>1</v>
      </c>
      <c r="BL26" s="105">
        <f>'5.26'!AD5</f>
        <v>1</v>
      </c>
      <c r="BM26" s="105">
        <f>'5.26'!AE5</f>
        <v>1</v>
      </c>
      <c r="BN26" s="105">
        <f>'5.26'!AF5</f>
        <v>1</v>
      </c>
      <c r="BO26" s="105">
        <f>'5.26'!AG5</f>
        <v>1</v>
      </c>
      <c r="BP26" s="105">
        <f>'5.26'!AH5</f>
        <v>1</v>
      </c>
      <c r="BQ26" s="105">
        <f>'5.26'!AI5</f>
        <v>1</v>
      </c>
      <c r="BR26" s="105">
        <f>'5.26'!AJ5</f>
        <v>1</v>
      </c>
      <c r="BS26" s="105">
        <f>'5.26'!AK5</f>
        <v>1</v>
      </c>
      <c r="BT26" s="105">
        <f>'5.26'!AL5</f>
        <v>0</v>
      </c>
      <c r="BU26" s="83"/>
    </row>
    <row r="27" spans="2:75" s="77" customFormat="1" ht="32.4" customHeight="1">
      <c r="B27" s="78"/>
      <c r="N27" s="79"/>
      <c r="Q27" s="492"/>
      <c r="R27" s="529"/>
      <c r="S27" s="530"/>
      <c r="T27" s="103" t="s">
        <v>98</v>
      </c>
      <c r="U27" s="104"/>
      <c r="V27" s="185">
        <f>'Data NĂM'!F6</f>
        <v>0</v>
      </c>
      <c r="W27" s="185">
        <f>'Data NĂM'!G6</f>
        <v>8</v>
      </c>
      <c r="X27" s="203">
        <f>'Data NĂM'!H6</f>
        <v>36</v>
      </c>
      <c r="Y27" s="234">
        <f>'Data NĂM'!I6</f>
        <v>79</v>
      </c>
      <c r="Z27" s="234">
        <f>'Data NĂM'!J6</f>
        <v>92</v>
      </c>
      <c r="AA27" s="234">
        <f>'Data NĂM'!K6</f>
        <v>0</v>
      </c>
      <c r="AB27" s="217">
        <f>+'Data NĂM'!BP6</f>
        <v>7</v>
      </c>
      <c r="AC27" s="217">
        <f>+'Data NĂM'!BT6</f>
        <v>3</v>
      </c>
      <c r="AD27" s="217">
        <f>+'Data NĂM'!BU6</f>
        <v>0</v>
      </c>
      <c r="AE27" s="217">
        <f>+'Data NĂM'!BV6</f>
        <v>0</v>
      </c>
      <c r="AF27" s="217">
        <f>+'Data NĂM'!BW6</f>
        <v>0</v>
      </c>
      <c r="AG27" s="217">
        <f>+'Data NĂM'!BY6</f>
        <v>0</v>
      </c>
      <c r="AH27" s="217">
        <f>+'Data NĂM'!BZ6</f>
        <v>0</v>
      </c>
      <c r="AI27" s="217">
        <f>+'Data NĂM'!CA6</f>
        <v>0</v>
      </c>
      <c r="AJ27" s="217">
        <f>+'Data NĂM'!CB6</f>
        <v>0</v>
      </c>
      <c r="AK27" s="217">
        <f>+'Data NĂM'!CC6</f>
        <v>0</v>
      </c>
      <c r="AL27" s="217">
        <f>+'Data NĂM'!CD6</f>
        <v>0</v>
      </c>
      <c r="AM27" s="217">
        <f>+'Data NĂM'!CE6</f>
        <v>0</v>
      </c>
      <c r="AN27" s="106"/>
      <c r="AO27" s="105">
        <f>'5.26'!G6</f>
        <v>0</v>
      </c>
      <c r="AP27" s="105">
        <f>'5.26'!H6</f>
        <v>0</v>
      </c>
      <c r="AQ27" s="105">
        <f>'5.26'!I6</f>
        <v>0</v>
      </c>
      <c r="AR27" s="105">
        <f>'5.26'!J6</f>
        <v>0</v>
      </c>
      <c r="AS27" s="105">
        <f>'5.26'!K6</f>
        <v>0</v>
      </c>
      <c r="AT27" s="105">
        <f>'5.26'!L6</f>
        <v>0</v>
      </c>
      <c r="AU27" s="105">
        <f>'5.26'!M6</f>
        <v>0</v>
      </c>
      <c r="AV27" s="105">
        <f>'5.26'!N6</f>
        <v>0</v>
      </c>
      <c r="AW27" s="105">
        <f>'5.26'!O6</f>
        <v>0</v>
      </c>
      <c r="AX27" s="105">
        <f>'5.26'!P6</f>
        <v>0</v>
      </c>
      <c r="AY27" s="105">
        <f>'5.26'!Q6</f>
        <v>0</v>
      </c>
      <c r="AZ27" s="105">
        <f>'5.26'!R6</f>
        <v>0</v>
      </c>
      <c r="BA27" s="105">
        <f>'5.26'!S6</f>
        <v>0</v>
      </c>
      <c r="BB27" s="105">
        <f>'5.26'!T6</f>
        <v>0</v>
      </c>
      <c r="BC27" s="105">
        <f>'5.26'!U6</f>
        <v>0</v>
      </c>
      <c r="BD27" s="105">
        <f>'5.26'!V6</f>
        <v>0</v>
      </c>
      <c r="BE27" s="105">
        <f>'5.26'!W6</f>
        <v>0</v>
      </c>
      <c r="BF27" s="105">
        <f>'5.26'!X6</f>
        <v>0</v>
      </c>
      <c r="BG27" s="105">
        <f>'5.26'!Y6</f>
        <v>0</v>
      </c>
      <c r="BH27" s="105">
        <f>'5.26'!Z6</f>
        <v>0</v>
      </c>
      <c r="BI27" s="105">
        <f>'5.26'!AA6</f>
        <v>0</v>
      </c>
      <c r="BJ27" s="105">
        <f>'5.26'!AB6</f>
        <v>0</v>
      </c>
      <c r="BK27" s="105">
        <f>'5.26'!AC6</f>
        <v>0</v>
      </c>
      <c r="BL27" s="105">
        <f>'5.26'!AD6</f>
        <v>0</v>
      </c>
      <c r="BM27" s="105">
        <f>'5.26'!AE6</f>
        <v>0</v>
      </c>
      <c r="BN27" s="105">
        <f>'5.26'!AF6</f>
        <v>0</v>
      </c>
      <c r="BO27" s="105">
        <f>'5.26'!AG6</f>
        <v>0</v>
      </c>
      <c r="BP27" s="105">
        <f>'5.26'!AH6</f>
        <v>0</v>
      </c>
      <c r="BQ27" s="105">
        <f>'5.26'!AI6</f>
        <v>1</v>
      </c>
      <c r="BR27" s="105">
        <f>'5.26'!AJ6</f>
        <v>1</v>
      </c>
      <c r="BS27" s="105">
        <f>'5.26'!AK6</f>
        <v>1</v>
      </c>
      <c r="BT27" s="105">
        <f>'5.26'!AL6</f>
        <v>0</v>
      </c>
      <c r="BU27" s="83"/>
    </row>
    <row r="28" spans="2:75" s="77" customFormat="1" ht="32.4" customHeight="1">
      <c r="B28" s="78"/>
      <c r="N28" s="79"/>
      <c r="Q28" s="492"/>
      <c r="R28" s="107" t="s">
        <v>93</v>
      </c>
      <c r="S28" s="108"/>
      <c r="T28" s="109" t="s">
        <v>91</v>
      </c>
      <c r="U28" s="110" t="s">
        <v>92</v>
      </c>
      <c r="V28" s="186">
        <v>75179.621576280973</v>
      </c>
      <c r="W28" s="186">
        <v>122182.14508727205</v>
      </c>
      <c r="X28" s="204">
        <v>127666</v>
      </c>
      <c r="Y28" s="235">
        <v>136881</v>
      </c>
      <c r="Z28" s="235">
        <f>+Z32</f>
        <v>159400</v>
      </c>
      <c r="AA28" s="235">
        <f>+SUM(AB28:AN28)</f>
        <v>68335</v>
      </c>
      <c r="AB28" s="218">
        <v>14200</v>
      </c>
      <c r="AC28" s="218">
        <v>12555</v>
      </c>
      <c r="AD28" s="218">
        <v>14000</v>
      </c>
      <c r="AE28" s="218">
        <v>13580</v>
      </c>
      <c r="AF28" s="218">
        <v>14000</v>
      </c>
      <c r="AG28" s="218"/>
      <c r="AH28" s="218"/>
      <c r="AI28" s="218"/>
      <c r="AJ28" s="218"/>
      <c r="AK28" s="218"/>
      <c r="AL28" s="218"/>
      <c r="AM28" s="218"/>
      <c r="AN28" s="106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83"/>
    </row>
    <row r="29" spans="2:75" s="77" customFormat="1" ht="32.4" customHeight="1">
      <c r="B29" s="78"/>
      <c r="N29" s="79"/>
      <c r="Q29" s="492"/>
      <c r="R29" s="523" t="s">
        <v>5</v>
      </c>
      <c r="S29" s="524" t="s">
        <v>6</v>
      </c>
      <c r="T29" s="111" t="s">
        <v>7</v>
      </c>
      <c r="U29" s="92" t="s">
        <v>3</v>
      </c>
      <c r="V29" s="187">
        <f>'Data NĂM'!F7</f>
        <v>40397.894431603847</v>
      </c>
      <c r="W29" s="187">
        <f>'Data NĂM'!G7</f>
        <v>37100.099848840495</v>
      </c>
      <c r="X29" s="205">
        <f>'Data NĂM'!H7</f>
        <v>26535.137865741548</v>
      </c>
      <c r="Y29" s="236">
        <f>'Data NĂM'!I7</f>
        <v>12464.327843469797</v>
      </c>
      <c r="Z29" s="236">
        <f>'Data NĂM'!J7</f>
        <v>16779</v>
      </c>
      <c r="AA29" s="236">
        <f>'Data NĂM'!K7</f>
        <v>5403</v>
      </c>
      <c r="AB29" s="219">
        <f>+'Data NĂM'!BP7</f>
        <v>1213</v>
      </c>
      <c r="AC29" s="219">
        <f>+'Data NĂM'!BQ7</f>
        <v>760</v>
      </c>
      <c r="AD29" s="219">
        <f>+'Data NĂM'!BR7</f>
        <v>770</v>
      </c>
      <c r="AE29" s="219">
        <f>+'Data NĂM'!BS7</f>
        <v>1620</v>
      </c>
      <c r="AF29" s="219">
        <f>+'Data NĂM'!BT7</f>
        <v>1040</v>
      </c>
      <c r="AG29" s="219">
        <f>+'Data NĂM'!BY7</f>
        <v>0</v>
      </c>
      <c r="AH29" s="219">
        <f>+'Data NĂM'!BZ7</f>
        <v>0</v>
      </c>
      <c r="AI29" s="219">
        <f>+'Data NĂM'!CA7</f>
        <v>0</v>
      </c>
      <c r="AJ29" s="219">
        <f>+'Data NĂM'!CB7</f>
        <v>0</v>
      </c>
      <c r="AK29" s="219">
        <f>+'Data NĂM'!CC7</f>
        <v>0</v>
      </c>
      <c r="AL29" s="219">
        <f>+'Data NĂM'!CD7</f>
        <v>0</v>
      </c>
      <c r="AM29" s="219">
        <f>+'Data NĂM'!CE7</f>
        <v>0</v>
      </c>
      <c r="AN29" s="106"/>
      <c r="AO29" s="105">
        <f>'5.26'!G7</f>
        <v>250</v>
      </c>
      <c r="AP29" s="105">
        <f>'5.26'!H7</f>
        <v>70</v>
      </c>
      <c r="AQ29" s="105">
        <f>'5.26'!I7</f>
        <v>10</v>
      </c>
      <c r="AR29" s="105">
        <f>'5.26'!J7</f>
        <v>0</v>
      </c>
      <c r="AS29" s="105">
        <f>'5.26'!K7</f>
        <v>0</v>
      </c>
      <c r="AT29" s="105">
        <f>'5.26'!L7</f>
        <v>0</v>
      </c>
      <c r="AU29" s="105">
        <f>'5.26'!M7</f>
        <v>0</v>
      </c>
      <c r="AV29" s="105">
        <f>'5.26'!N7</f>
        <v>0</v>
      </c>
      <c r="AW29" s="105">
        <f>'5.26'!O7</f>
        <v>0</v>
      </c>
      <c r="AX29" s="105">
        <f>'5.26'!P7</f>
        <v>0</v>
      </c>
      <c r="AY29" s="105">
        <f>'5.26'!Q7</f>
        <v>0</v>
      </c>
      <c r="AZ29" s="105">
        <f>'5.26'!R7</f>
        <v>200</v>
      </c>
      <c r="BA29" s="105">
        <f>'5.26'!S7</f>
        <v>0</v>
      </c>
      <c r="BB29" s="105">
        <f>'5.26'!T7</f>
        <v>110</v>
      </c>
      <c r="BC29" s="105">
        <f>'5.26'!U7</f>
        <v>0</v>
      </c>
      <c r="BD29" s="105">
        <f>'5.26'!V7</f>
        <v>150</v>
      </c>
      <c r="BE29" s="105">
        <f>'5.26'!W7</f>
        <v>0</v>
      </c>
      <c r="BF29" s="105">
        <f>'5.26'!X7</f>
        <v>0</v>
      </c>
      <c r="BG29" s="105">
        <f>'5.26'!Y7</f>
        <v>0</v>
      </c>
      <c r="BH29" s="105">
        <f>'5.26'!Z7</f>
        <v>0</v>
      </c>
      <c r="BI29" s="105">
        <f>'5.26'!AA7</f>
        <v>0</v>
      </c>
      <c r="BJ29" s="105">
        <f>'5.26'!AB7</f>
        <v>0</v>
      </c>
      <c r="BK29" s="105">
        <f>'5.26'!AC7</f>
        <v>0</v>
      </c>
      <c r="BL29" s="105">
        <f>'5.26'!AD7</f>
        <v>0</v>
      </c>
      <c r="BM29" s="105">
        <f>'5.26'!AE7</f>
        <v>0</v>
      </c>
      <c r="BN29" s="105">
        <f>'5.26'!AF7</f>
        <v>0</v>
      </c>
      <c r="BO29" s="105">
        <f>'5.26'!AG7</f>
        <v>50</v>
      </c>
      <c r="BP29" s="105">
        <f>'5.26'!AH7</f>
        <v>165</v>
      </c>
      <c r="BQ29" s="105">
        <f>'5.26'!AI7</f>
        <v>35</v>
      </c>
      <c r="BR29" s="105">
        <f>'5.26'!AJ7</f>
        <v>0</v>
      </c>
      <c r="BS29" s="105">
        <f>'5.26'!AK7</f>
        <v>0</v>
      </c>
      <c r="BT29" s="105">
        <f>'5.26'!AL7</f>
        <v>0</v>
      </c>
      <c r="BU29" s="105"/>
    </row>
    <row r="30" spans="2:75" s="77" customFormat="1" ht="32.4" customHeight="1">
      <c r="B30" s="78"/>
      <c r="N30" s="79"/>
      <c r="Q30" s="492"/>
      <c r="R30" s="523"/>
      <c r="S30" s="524"/>
      <c r="T30" s="113" t="s">
        <v>8</v>
      </c>
      <c r="U30" s="114" t="s">
        <v>3</v>
      </c>
      <c r="V30" s="187">
        <f>'Data NĂM'!F8</f>
        <v>34781.727144677126</v>
      </c>
      <c r="W30" s="187">
        <f>'Data NĂM'!G8</f>
        <v>84192.395479386541</v>
      </c>
      <c r="X30" s="205">
        <f>'Data NĂM'!H8</f>
        <v>92552.525740332523</v>
      </c>
      <c r="Y30" s="236">
        <f>'Data NĂM'!I8</f>
        <v>95041.5401559077</v>
      </c>
      <c r="Z30" s="236">
        <f>'Data NĂM'!J8</f>
        <v>121993</v>
      </c>
      <c r="AA30" s="236">
        <f>'Data NĂM'!K8</f>
        <v>54940</v>
      </c>
      <c r="AB30" s="219">
        <f>+'Data NĂM'!BP8</f>
        <v>10800</v>
      </c>
      <c r="AC30" s="219">
        <f>+'Data NĂM'!BQ8</f>
        <v>10350</v>
      </c>
      <c r="AD30" s="219">
        <f>+'Data NĂM'!BR8</f>
        <v>11685</v>
      </c>
      <c r="AE30" s="219">
        <f>+'Data NĂM'!BS8</f>
        <v>10270</v>
      </c>
      <c r="AF30" s="219">
        <f>+'Data NĂM'!BT8</f>
        <v>11835</v>
      </c>
      <c r="AG30" s="219">
        <f>+'Data NĂM'!BY8</f>
        <v>0</v>
      </c>
      <c r="AH30" s="219">
        <f>+'Data NĂM'!BZ8</f>
        <v>0</v>
      </c>
      <c r="AI30" s="219">
        <f>+'Data NĂM'!CA8</f>
        <v>0</v>
      </c>
      <c r="AJ30" s="219">
        <f>+'Data NĂM'!CB8</f>
        <v>0</v>
      </c>
      <c r="AK30" s="219">
        <f>+'Data NĂM'!CC8</f>
        <v>0</v>
      </c>
      <c r="AL30" s="219">
        <f>+'Data NĂM'!CD8</f>
        <v>0</v>
      </c>
      <c r="AM30" s="219">
        <f>+'Data NĂM'!CE8</f>
        <v>0</v>
      </c>
      <c r="AN30" s="106"/>
      <c r="AO30" s="105">
        <f>'5.26'!G8</f>
        <v>100</v>
      </c>
      <c r="AP30" s="105">
        <f>'5.26'!H8</f>
        <v>350</v>
      </c>
      <c r="AQ30" s="105">
        <f>'5.26'!I8</f>
        <v>470</v>
      </c>
      <c r="AR30" s="105">
        <f>'5.26'!J8</f>
        <v>490</v>
      </c>
      <c r="AS30" s="105">
        <f>'5.26'!K8</f>
        <v>500</v>
      </c>
      <c r="AT30" s="105">
        <f>'5.26'!L8</f>
        <v>520</v>
      </c>
      <c r="AU30" s="105">
        <f>'5.26'!M8</f>
        <v>490</v>
      </c>
      <c r="AV30" s="105">
        <f>'5.26'!N8</f>
        <v>450</v>
      </c>
      <c r="AW30" s="105">
        <f>'5.26'!O8</f>
        <v>510</v>
      </c>
      <c r="AX30" s="105">
        <f>'5.26'!P8</f>
        <v>450</v>
      </c>
      <c r="AY30" s="105">
        <f>'5.26'!Q8</f>
        <v>480</v>
      </c>
      <c r="AZ30" s="105">
        <f>'5.26'!R8</f>
        <v>100</v>
      </c>
      <c r="BA30" s="105">
        <f>'5.26'!S8</f>
        <v>0</v>
      </c>
      <c r="BB30" s="105">
        <f>'5.26'!T8</f>
        <v>280</v>
      </c>
      <c r="BC30" s="105">
        <f>'5.26'!U8</f>
        <v>500</v>
      </c>
      <c r="BD30" s="105">
        <f>'5.26'!V8</f>
        <v>150</v>
      </c>
      <c r="BE30" s="105">
        <f>'5.26'!W8</f>
        <v>510</v>
      </c>
      <c r="BF30" s="105">
        <f>'5.26'!X8</f>
        <v>500</v>
      </c>
      <c r="BG30" s="105">
        <f>'5.26'!Y8</f>
        <v>460</v>
      </c>
      <c r="BH30" s="105">
        <f>'5.26'!Z8</f>
        <v>500</v>
      </c>
      <c r="BI30" s="105">
        <f>'5.26'!AA8</f>
        <v>510</v>
      </c>
      <c r="BJ30" s="105">
        <f>'5.26'!AB8</f>
        <v>500</v>
      </c>
      <c r="BK30" s="105">
        <f>'5.26'!AC8</f>
        <v>530</v>
      </c>
      <c r="BL30" s="105">
        <f>'5.26'!AD8</f>
        <v>540</v>
      </c>
      <c r="BM30" s="105">
        <f>'5.26'!AE8</f>
        <v>530</v>
      </c>
      <c r="BN30" s="105">
        <f>'5.26'!AF8</f>
        <v>480</v>
      </c>
      <c r="BO30" s="105">
        <f>'5.26'!AG8</f>
        <v>450</v>
      </c>
      <c r="BP30" s="105">
        <f>'5.26'!AH8</f>
        <v>165</v>
      </c>
      <c r="BQ30" s="105">
        <f>'5.26'!AI8</f>
        <v>320</v>
      </c>
      <c r="BR30" s="105">
        <f>'5.26'!AJ8</f>
        <v>0</v>
      </c>
      <c r="BS30" s="105">
        <f>'5.26'!AK8</f>
        <v>0</v>
      </c>
      <c r="BT30" s="105">
        <f>'5.26'!AL8</f>
        <v>0</v>
      </c>
      <c r="BU30" s="105"/>
    </row>
    <row r="31" spans="2:75" s="77" customFormat="1" ht="32.4" customHeight="1">
      <c r="B31" s="78"/>
      <c r="N31" s="79"/>
      <c r="Q31" s="492"/>
      <c r="R31" s="523"/>
      <c r="S31" s="524"/>
      <c r="T31" s="113" t="s">
        <v>95</v>
      </c>
      <c r="U31" s="114" t="s">
        <v>3</v>
      </c>
      <c r="V31" s="187">
        <f>'Data NĂM'!F9</f>
        <v>0</v>
      </c>
      <c r="W31" s="187">
        <f>'Data NĂM'!G9</f>
        <v>889.64975904501</v>
      </c>
      <c r="X31" s="205">
        <f>'Data NĂM'!H9</f>
        <v>7941.7684708098632</v>
      </c>
      <c r="Y31" s="236">
        <f>'Data NĂM'!I9</f>
        <v>19805.050909034682</v>
      </c>
      <c r="Z31" s="236">
        <f>'Data NĂM'!J9</f>
        <v>20628</v>
      </c>
      <c r="AA31" s="236">
        <f>'Data NĂM'!K9</f>
        <v>7992</v>
      </c>
      <c r="AB31" s="219">
        <f>+'Data NĂM'!BP9</f>
        <v>2187</v>
      </c>
      <c r="AC31" s="219">
        <f>+'Data NĂM'!BQ9</f>
        <v>1445</v>
      </c>
      <c r="AD31" s="219">
        <f>+'Data NĂM'!BR9</f>
        <v>1545</v>
      </c>
      <c r="AE31" s="219">
        <f>+'Data NĂM'!BS9</f>
        <v>1690</v>
      </c>
      <c r="AF31" s="219">
        <f>+'Data NĂM'!BT9</f>
        <v>1125</v>
      </c>
      <c r="AG31" s="219">
        <f>+'Data NĂM'!BY9</f>
        <v>0</v>
      </c>
      <c r="AH31" s="219">
        <f>+'Data NĂM'!BZ9</f>
        <v>0</v>
      </c>
      <c r="AI31" s="219">
        <f>+'Data NĂM'!CA9</f>
        <v>0</v>
      </c>
      <c r="AJ31" s="219">
        <f>+'Data NĂM'!CB9</f>
        <v>0</v>
      </c>
      <c r="AK31" s="219">
        <f>+'Data NĂM'!CC9</f>
        <v>0</v>
      </c>
      <c r="AL31" s="219">
        <f>+'Data NĂM'!CD9</f>
        <v>0</v>
      </c>
      <c r="AM31" s="219">
        <f>+'Data NĂM'!CE9</f>
        <v>0</v>
      </c>
      <c r="AN31" s="106"/>
      <c r="AO31" s="105">
        <f>'5.26'!G9</f>
        <v>0</v>
      </c>
      <c r="AP31" s="105">
        <f>'5.26'!H9</f>
        <v>0</v>
      </c>
      <c r="AQ31" s="105">
        <f>'5.26'!I9</f>
        <v>0</v>
      </c>
      <c r="AR31" s="105">
        <f>'5.26'!J9</f>
        <v>0</v>
      </c>
      <c r="AS31" s="105">
        <f>'5.26'!K9</f>
        <v>0</v>
      </c>
      <c r="AT31" s="105">
        <f>'5.26'!L9</f>
        <v>0</v>
      </c>
      <c r="AU31" s="105">
        <f>'5.26'!M9</f>
        <v>0</v>
      </c>
      <c r="AV31" s="105">
        <f>'5.26'!N9</f>
        <v>0</v>
      </c>
      <c r="AW31" s="105">
        <f>'5.26'!O9</f>
        <v>0</v>
      </c>
      <c r="AX31" s="105">
        <f>'5.26'!P9</f>
        <v>0</v>
      </c>
      <c r="AY31" s="105">
        <f>'5.26'!Q9</f>
        <v>0</v>
      </c>
      <c r="AZ31" s="105">
        <f>'5.26'!R9</f>
        <v>0</v>
      </c>
      <c r="BA31" s="105">
        <f>'5.26'!S9</f>
        <v>0</v>
      </c>
      <c r="BB31" s="105">
        <f>'5.26'!T9</f>
        <v>0</v>
      </c>
      <c r="BC31" s="105">
        <f>'5.26'!U9</f>
        <v>0</v>
      </c>
      <c r="BD31" s="105">
        <f>'5.26'!V9</f>
        <v>0</v>
      </c>
      <c r="BE31" s="105">
        <f>'5.26'!W9</f>
        <v>0</v>
      </c>
      <c r="BF31" s="105">
        <f>'5.26'!X9</f>
        <v>0</v>
      </c>
      <c r="BG31" s="105">
        <f>'5.26'!Y9</f>
        <v>0</v>
      </c>
      <c r="BH31" s="105">
        <f>'5.26'!Z9</f>
        <v>0</v>
      </c>
      <c r="BI31" s="105">
        <f>'5.26'!AA9</f>
        <v>0</v>
      </c>
      <c r="BJ31" s="105">
        <f>'5.26'!AB9</f>
        <v>0</v>
      </c>
      <c r="BK31" s="105">
        <f>'5.26'!AC9</f>
        <v>0</v>
      </c>
      <c r="BL31" s="105">
        <f>'5.26'!AD9</f>
        <v>0</v>
      </c>
      <c r="BM31" s="105">
        <f>'5.26'!AE9</f>
        <v>0</v>
      </c>
      <c r="BN31" s="105">
        <f>'5.26'!AF9</f>
        <v>0</v>
      </c>
      <c r="BO31" s="105">
        <f>'5.26'!AG9</f>
        <v>0</v>
      </c>
      <c r="BP31" s="105">
        <f>'5.26'!AH9</f>
        <v>0</v>
      </c>
      <c r="BQ31" s="105">
        <f>'5.26'!AI9</f>
        <v>125</v>
      </c>
      <c r="BR31" s="105">
        <f>'5.26'!AJ9</f>
        <v>500</v>
      </c>
      <c r="BS31" s="105">
        <f>'5.26'!AK9</f>
        <v>500</v>
      </c>
      <c r="BT31" s="105">
        <f>'5.26'!AL9</f>
        <v>0</v>
      </c>
      <c r="BU31" s="105"/>
      <c r="BW31" s="131"/>
    </row>
    <row r="32" spans="2:75" s="77" customFormat="1" ht="32.4" customHeight="1">
      <c r="B32" s="78"/>
      <c r="N32" s="79"/>
      <c r="Q32" s="492"/>
      <c r="R32" s="523"/>
      <c r="S32" s="524"/>
      <c r="T32" s="115" t="s">
        <v>27</v>
      </c>
      <c r="U32" s="116" t="s">
        <v>3</v>
      </c>
      <c r="V32" s="188">
        <f>SUM(V29:V31)</f>
        <v>75179.621576280973</v>
      </c>
      <c r="W32" s="188">
        <f>SUM(W29:W31)</f>
        <v>122182.14508727205</v>
      </c>
      <c r="X32" s="383">
        <f>SUM(X29:X31)</f>
        <v>127029.43207688394</v>
      </c>
      <c r="Y32" s="384">
        <f>SUM(Y29:Y31)</f>
        <v>127310.91890841219</v>
      </c>
      <c r="Z32" s="384">
        <f t="shared" ref="Z32:AA32" si="166">SUM(Z29:Z31)</f>
        <v>159400</v>
      </c>
      <c r="AA32" s="384">
        <f t="shared" si="166"/>
        <v>68335</v>
      </c>
      <c r="AB32" s="220">
        <f>+SUM(AB29:AB31)</f>
        <v>14200</v>
      </c>
      <c r="AC32" s="220">
        <f t="shared" ref="AC32" si="167">+SUM(AC29:AC31)</f>
        <v>12555</v>
      </c>
      <c r="AD32" s="220">
        <f t="shared" ref="AD32" si="168">+SUM(AD29:AD31)</f>
        <v>14000</v>
      </c>
      <c r="AE32" s="220">
        <f t="shared" ref="AE32:AF32" si="169">+SUM(AE29:AE31)</f>
        <v>13580</v>
      </c>
      <c r="AF32" s="220">
        <f t="shared" si="169"/>
        <v>14000</v>
      </c>
      <c r="AG32" s="220">
        <f t="shared" ref="AG32:AM32" si="170">+SUM(AG29:AG31)</f>
        <v>0</v>
      </c>
      <c r="AH32" s="220">
        <f t="shared" si="170"/>
        <v>0</v>
      </c>
      <c r="AI32" s="220">
        <f t="shared" si="170"/>
        <v>0</v>
      </c>
      <c r="AJ32" s="220">
        <f t="shared" si="170"/>
        <v>0</v>
      </c>
      <c r="AK32" s="220">
        <f t="shared" si="170"/>
        <v>0</v>
      </c>
      <c r="AL32" s="220">
        <f t="shared" si="170"/>
        <v>0</v>
      </c>
      <c r="AM32" s="220">
        <f t="shared" si="170"/>
        <v>0</v>
      </c>
      <c r="AN32" s="106"/>
      <c r="AO32" s="117">
        <f t="shared" ref="AO32:BH32" si="171">AO30+AO29+AO31</f>
        <v>350</v>
      </c>
      <c r="AP32" s="117">
        <f t="shared" si="171"/>
        <v>420</v>
      </c>
      <c r="AQ32" s="117">
        <f t="shared" si="171"/>
        <v>480</v>
      </c>
      <c r="AR32" s="117">
        <f t="shared" si="171"/>
        <v>490</v>
      </c>
      <c r="AS32" s="117">
        <f t="shared" si="171"/>
        <v>500</v>
      </c>
      <c r="AT32" s="117">
        <f t="shared" si="171"/>
        <v>520</v>
      </c>
      <c r="AU32" s="117">
        <f t="shared" si="171"/>
        <v>490</v>
      </c>
      <c r="AV32" s="117">
        <f t="shared" si="171"/>
        <v>450</v>
      </c>
      <c r="AW32" s="117">
        <f t="shared" si="171"/>
        <v>510</v>
      </c>
      <c r="AX32" s="117">
        <f t="shared" si="171"/>
        <v>450</v>
      </c>
      <c r="AY32" s="117">
        <f t="shared" si="171"/>
        <v>480</v>
      </c>
      <c r="AZ32" s="117">
        <f t="shared" si="171"/>
        <v>300</v>
      </c>
      <c r="BA32" s="117">
        <f t="shared" si="171"/>
        <v>0</v>
      </c>
      <c r="BB32" s="117">
        <f t="shared" si="171"/>
        <v>390</v>
      </c>
      <c r="BC32" s="117">
        <f t="shared" si="171"/>
        <v>500</v>
      </c>
      <c r="BD32" s="117">
        <f t="shared" si="171"/>
        <v>300</v>
      </c>
      <c r="BE32" s="117">
        <f t="shared" si="171"/>
        <v>510</v>
      </c>
      <c r="BF32" s="117">
        <f t="shared" si="171"/>
        <v>500</v>
      </c>
      <c r="BG32" s="117">
        <f t="shared" si="171"/>
        <v>460</v>
      </c>
      <c r="BH32" s="117">
        <f t="shared" si="171"/>
        <v>500</v>
      </c>
      <c r="BI32" s="117">
        <f>BI30+BI29+BI31</f>
        <v>510</v>
      </c>
      <c r="BJ32" s="117">
        <f t="shared" ref="BJ32:BR32" si="172">BJ30+BJ29+BJ31</f>
        <v>500</v>
      </c>
      <c r="BK32" s="117">
        <f t="shared" si="172"/>
        <v>530</v>
      </c>
      <c r="BL32" s="117">
        <f>BL30+BL29+BL31</f>
        <v>540</v>
      </c>
      <c r="BM32" s="117">
        <f t="shared" ref="BM32:BN32" si="173">BM30+BM29+BM31</f>
        <v>530</v>
      </c>
      <c r="BN32" s="117">
        <f t="shared" si="173"/>
        <v>480</v>
      </c>
      <c r="BO32" s="117">
        <f t="shared" si="172"/>
        <v>500</v>
      </c>
      <c r="BP32" s="117">
        <f t="shared" si="172"/>
        <v>330</v>
      </c>
      <c r="BQ32" s="117">
        <f t="shared" si="172"/>
        <v>480</v>
      </c>
      <c r="BR32" s="117">
        <f t="shared" si="172"/>
        <v>500</v>
      </c>
      <c r="BS32" s="117">
        <f t="shared" ref="BS32" si="174">BS30+BS29+BS31</f>
        <v>500</v>
      </c>
      <c r="BT32" s="117">
        <f t="shared" ref="BT32" si="175">BT30+BT29+BT31</f>
        <v>0</v>
      </c>
      <c r="BU32" s="105"/>
    </row>
    <row r="33" spans="2:73" s="77" customFormat="1" ht="32.4" customHeight="1">
      <c r="B33" s="78"/>
      <c r="N33" s="79"/>
      <c r="Q33" s="492"/>
      <c r="R33" s="521" t="s">
        <v>9</v>
      </c>
      <c r="S33" s="522" t="s">
        <v>10</v>
      </c>
      <c r="T33" s="118" t="s">
        <v>2</v>
      </c>
      <c r="U33" s="92" t="s">
        <v>3</v>
      </c>
      <c r="V33" s="187">
        <f>'Data NĂM'!F11</f>
        <v>34509.206000000006</v>
      </c>
      <c r="W33" s="187">
        <f>'Data NĂM'!G11</f>
        <v>35531.190999999999</v>
      </c>
      <c r="X33" s="205">
        <f>'Data NĂM'!H11</f>
        <v>25275.763999999999</v>
      </c>
      <c r="Y33" s="236">
        <f>'Data NĂM'!I11</f>
        <v>11767.882</v>
      </c>
      <c r="Z33" s="236">
        <f>'Data NĂM'!J11</f>
        <v>15186.893000000002</v>
      </c>
      <c r="AA33" s="236">
        <f>'Data NĂM'!K11</f>
        <v>5053.3339999999998</v>
      </c>
      <c r="AB33" s="219">
        <f>+'Data NĂM'!BP11</f>
        <v>1002.502</v>
      </c>
      <c r="AC33" s="219">
        <f>+'Data NĂM'!BQ11</f>
        <v>722.14099999999985</v>
      </c>
      <c r="AD33" s="219">
        <f>+'Data NĂM'!BR11</f>
        <v>732.62900000000002</v>
      </c>
      <c r="AE33" s="219">
        <f>+'Data NĂM'!BS11</f>
        <v>1654.5599999999997</v>
      </c>
      <c r="AF33" s="219">
        <f>+'Data NĂM'!BT11</f>
        <v>941.50200000000007</v>
      </c>
      <c r="AG33" s="219">
        <f>+'Data NĂM'!BY11</f>
        <v>3.7174642220621939E-3</v>
      </c>
      <c r="AH33" s="219">
        <f>+'Data NĂM'!BZ11</f>
        <v>2.6678313656171418E-4</v>
      </c>
      <c r="AI33" s="219">
        <f>+'Data NĂM'!CA11</f>
        <v>0</v>
      </c>
      <c r="AJ33" s="219">
        <f>+'Data NĂM'!CB11</f>
        <v>0</v>
      </c>
      <c r="AK33" s="219">
        <f>+'Data NĂM'!CC11</f>
        <v>0</v>
      </c>
      <c r="AL33" s="219">
        <f>+'Data NĂM'!CD11</f>
        <v>0</v>
      </c>
      <c r="AM33" s="219">
        <f>+'Data NĂM'!CE11</f>
        <v>0</v>
      </c>
      <c r="AN33" s="106"/>
      <c r="AO33" s="112">
        <f>'5.26'!G11</f>
        <v>225.113</v>
      </c>
      <c r="AP33" s="112">
        <f>'5.26'!H11</f>
        <v>70.328000000000003</v>
      </c>
      <c r="AQ33" s="112">
        <f>'5.26'!I11</f>
        <v>9.5239999999999991</v>
      </c>
      <c r="AR33" s="112">
        <f>'5.26'!J11</f>
        <v>0</v>
      </c>
      <c r="AS33" s="112">
        <f>'5.26'!K11</f>
        <v>0</v>
      </c>
      <c r="AT33" s="112">
        <f>'5.26'!L11</f>
        <v>0</v>
      </c>
      <c r="AU33" s="112">
        <f>'5.26'!M11</f>
        <v>0</v>
      </c>
      <c r="AV33" s="112">
        <f>'5.26'!N11</f>
        <v>0</v>
      </c>
      <c r="AW33" s="112">
        <f>'5.26'!O11</f>
        <v>0</v>
      </c>
      <c r="AX33" s="112">
        <f>'5.26'!P11</f>
        <v>0</v>
      </c>
      <c r="AY33" s="112">
        <f>'5.26'!Q11</f>
        <v>0</v>
      </c>
      <c r="AZ33" s="112">
        <f>'5.26'!R11</f>
        <v>163.88300000000001</v>
      </c>
      <c r="BA33" s="112">
        <f>'5.26'!S11</f>
        <v>0</v>
      </c>
      <c r="BB33" s="112">
        <f>'5.26'!T11</f>
        <v>88.072999999999993</v>
      </c>
      <c r="BC33" s="112">
        <f>'5.26'!U11</f>
        <v>0</v>
      </c>
      <c r="BD33" s="112">
        <f>'5.26'!V11</f>
        <v>148.262</v>
      </c>
      <c r="BE33" s="112">
        <f>'5.26'!W11</f>
        <v>0</v>
      </c>
      <c r="BF33" s="112">
        <f>'5.26'!X11</f>
        <v>0</v>
      </c>
      <c r="BG33" s="112">
        <f>'5.26'!Y11</f>
        <v>0</v>
      </c>
      <c r="BH33" s="112">
        <f>'5.26'!Z11</f>
        <v>0</v>
      </c>
      <c r="BI33" s="112">
        <f>'5.26'!AA11</f>
        <v>0</v>
      </c>
      <c r="BJ33" s="112">
        <f>'5.26'!AB11</f>
        <v>0</v>
      </c>
      <c r="BK33" s="112">
        <f>'5.26'!AC11</f>
        <v>0</v>
      </c>
      <c r="BL33" s="112">
        <f>'5.26'!AD11</f>
        <v>0</v>
      </c>
      <c r="BM33" s="112">
        <f>'5.26'!AE11</f>
        <v>0</v>
      </c>
      <c r="BN33" s="112">
        <f>'5.26'!AF11</f>
        <v>0</v>
      </c>
      <c r="BO33" s="112">
        <f>'5.26'!AG11</f>
        <v>46.447000000000003</v>
      </c>
      <c r="BP33" s="112">
        <f>'5.26'!AH11</f>
        <v>155.03100000000001</v>
      </c>
      <c r="BQ33" s="112">
        <f>'5.26'!AI11</f>
        <v>34.841000000000001</v>
      </c>
      <c r="BR33" s="112">
        <f>'5.26'!AJ11</f>
        <v>0</v>
      </c>
      <c r="BS33" s="112">
        <f>'5.26'!AK11</f>
        <v>0</v>
      </c>
      <c r="BT33" s="112">
        <f>'5.26'!AL11</f>
        <v>0</v>
      </c>
      <c r="BU33" s="105"/>
    </row>
    <row r="34" spans="2:73" s="77" customFormat="1" ht="32.4" customHeight="1">
      <c r="B34" s="78"/>
      <c r="N34" s="79"/>
      <c r="Q34" s="492"/>
      <c r="R34" s="521"/>
      <c r="S34" s="522"/>
      <c r="T34" s="119" t="s">
        <v>4</v>
      </c>
      <c r="U34" s="114" t="s">
        <v>3</v>
      </c>
      <c r="V34" s="187">
        <f>'Data NĂM'!F12</f>
        <v>31552.497999999996</v>
      </c>
      <c r="W34" s="187">
        <f>'Data NĂM'!G12</f>
        <v>82586.796168900008</v>
      </c>
      <c r="X34" s="205">
        <f>'Data NĂM'!H12</f>
        <v>90749.445000000007</v>
      </c>
      <c r="Y34" s="236">
        <f>'Data NĂM'!I12</f>
        <v>90236.047999999981</v>
      </c>
      <c r="Z34" s="236">
        <f>'Data NĂM'!J12</f>
        <v>113789.605</v>
      </c>
      <c r="AA34" s="236">
        <f>'Data NĂM'!K12</f>
        <v>51853.367999999995</v>
      </c>
      <c r="AB34" s="219">
        <f>+'Data NĂM'!BP12</f>
        <v>10011.423000000001</v>
      </c>
      <c r="AC34" s="219">
        <f>+'Data NĂM'!BQ12</f>
        <v>9960.3149999999987</v>
      </c>
      <c r="AD34" s="219">
        <f>+'Data NĂM'!BR12</f>
        <v>11050.316000000001</v>
      </c>
      <c r="AE34" s="219">
        <f>+'Data NĂM'!BS12</f>
        <v>9685.9539999999997</v>
      </c>
      <c r="AF34" s="219">
        <f>+'Data NĂM'!BT12</f>
        <v>11145.36</v>
      </c>
      <c r="AG34" s="219">
        <f>+'Data NĂM'!BY12</f>
        <v>1.5950583920124609E-2</v>
      </c>
      <c r="AH34" s="219">
        <f>+'Data NĂM'!BZ12</f>
        <v>1.35506777435025E-2</v>
      </c>
      <c r="AI34" s="219">
        <f>+'Data NĂM'!CA12</f>
        <v>0</v>
      </c>
      <c r="AJ34" s="219">
        <f>+'Data NĂM'!CB12</f>
        <v>0</v>
      </c>
      <c r="AK34" s="219">
        <f>+'Data NĂM'!CC12</f>
        <v>0</v>
      </c>
      <c r="AL34" s="219">
        <f>+'Data NĂM'!CD12</f>
        <v>0</v>
      </c>
      <c r="AM34" s="219">
        <f>+'Data NĂM'!CE12</f>
        <v>0</v>
      </c>
      <c r="AN34" s="106"/>
      <c r="AO34" s="112">
        <f>'5.26'!G12</f>
        <v>87.174999999999997</v>
      </c>
      <c r="AP34" s="112">
        <f>'5.26'!H12</f>
        <v>333.601</v>
      </c>
      <c r="AQ34" s="112">
        <f>'5.26'!I12</f>
        <v>399.904</v>
      </c>
      <c r="AR34" s="112">
        <f>'5.26'!J12</f>
        <v>452.12599999999998</v>
      </c>
      <c r="AS34" s="112">
        <f>'5.26'!K12</f>
        <v>507.52499999999998</v>
      </c>
      <c r="AT34" s="112">
        <f>'5.26'!L12</f>
        <v>516.42700000000002</v>
      </c>
      <c r="AU34" s="112">
        <f>'5.26'!M12</f>
        <v>491.10500000000002</v>
      </c>
      <c r="AV34" s="112">
        <f>'5.26'!N12</f>
        <v>435.798</v>
      </c>
      <c r="AW34" s="112">
        <f>'5.26'!O12</f>
        <v>489.23200000000003</v>
      </c>
      <c r="AX34" s="112">
        <f>'5.26'!P12</f>
        <v>437.57600000000002</v>
      </c>
      <c r="AY34" s="112">
        <f>'5.26'!Q12</f>
        <v>416.22300000000001</v>
      </c>
      <c r="AZ34" s="112">
        <f>'5.26'!R12</f>
        <v>89.94</v>
      </c>
      <c r="BA34" s="112">
        <f>'5.26'!S12</f>
        <v>0</v>
      </c>
      <c r="BB34" s="112">
        <f>'5.26'!T12</f>
        <v>182.20400000000001</v>
      </c>
      <c r="BC34" s="112">
        <f>'5.26'!U12</f>
        <v>481.73399999999998</v>
      </c>
      <c r="BD34" s="112">
        <f>'5.26'!V12</f>
        <v>137.87700000000001</v>
      </c>
      <c r="BE34" s="112">
        <f>'5.26'!W12</f>
        <v>473.30900000000003</v>
      </c>
      <c r="BF34" s="112">
        <f>'5.26'!X12</f>
        <v>473.16899999999998</v>
      </c>
      <c r="BG34" s="112">
        <f>'5.26'!Y12</f>
        <v>453.90699999999998</v>
      </c>
      <c r="BH34" s="112">
        <f>'5.26'!Z12</f>
        <v>494.69900000000001</v>
      </c>
      <c r="BI34" s="112">
        <f>'5.26'!AA12</f>
        <v>484.96100000000001</v>
      </c>
      <c r="BJ34" s="112">
        <f>'5.26'!AB12</f>
        <v>426.851</v>
      </c>
      <c r="BK34" s="112">
        <f>'5.26'!AC12</f>
        <v>510.07499999999999</v>
      </c>
      <c r="BL34" s="112">
        <f>'5.26'!AD12</f>
        <v>525.928</v>
      </c>
      <c r="BM34" s="112">
        <f>'5.26'!AE12</f>
        <v>517.88300000000004</v>
      </c>
      <c r="BN34" s="112">
        <f>'5.26'!AF12</f>
        <v>437.34</v>
      </c>
      <c r="BO34" s="112">
        <f>'5.26'!AG12</f>
        <v>434.61</v>
      </c>
      <c r="BP34" s="112">
        <f>'5.26'!AH12</f>
        <v>160.49700000000001</v>
      </c>
      <c r="BQ34" s="112">
        <f>'5.26'!AI12</f>
        <v>293.68400000000003</v>
      </c>
      <c r="BR34" s="112">
        <f>'5.26'!AJ12</f>
        <v>0</v>
      </c>
      <c r="BS34" s="112">
        <f>'5.26'!AK12</f>
        <v>0</v>
      </c>
      <c r="BT34" s="112">
        <f>'5.26'!AL12</f>
        <v>0</v>
      </c>
      <c r="BU34" s="105"/>
    </row>
    <row r="35" spans="2:73" s="77" customFormat="1" ht="32.4" customHeight="1">
      <c r="B35" s="78"/>
      <c r="N35" s="79"/>
      <c r="Q35" s="492"/>
      <c r="R35" s="521"/>
      <c r="S35" s="522"/>
      <c r="T35" s="119" t="s">
        <v>96</v>
      </c>
      <c r="U35" s="114" t="s">
        <v>3</v>
      </c>
      <c r="V35" s="187">
        <f>'Data NĂM'!F13</f>
        <v>0</v>
      </c>
      <c r="W35" s="187">
        <f>'Data NĂM'!G13</f>
        <v>847.14900000000011</v>
      </c>
      <c r="X35" s="205">
        <f>'Data NĂM'!H13</f>
        <v>7819.05</v>
      </c>
      <c r="Y35" s="236">
        <f>'Data NĂM'!I13</f>
        <v>18734.028000000002</v>
      </c>
      <c r="Z35" s="236">
        <f>'Data NĂM'!J13</f>
        <v>19060.960999999999</v>
      </c>
      <c r="AA35" s="236">
        <f>'Data NĂM'!K13</f>
        <v>7749.82</v>
      </c>
      <c r="AB35" s="219">
        <f>+'Data NĂM'!BP13</f>
        <v>2109.2739999999999</v>
      </c>
      <c r="AC35" s="219">
        <f>+'Data NĂM'!BQ13</f>
        <v>1394.903</v>
      </c>
      <c r="AD35" s="219">
        <f>+'Data NĂM'!BR13</f>
        <v>1528.1390000000001</v>
      </c>
      <c r="AE35" s="219">
        <f>+'Data NĂM'!BS13</f>
        <v>1685.0959999999998</v>
      </c>
      <c r="AF35" s="219">
        <f>+'Data NĂM'!BT13</f>
        <v>1032.4079999999999</v>
      </c>
      <c r="AG35" s="219">
        <f>+'Data NĂM'!BY13</f>
        <v>8.8434029957148733E-2</v>
      </c>
      <c r="AH35" s="219">
        <f>+'Data NĂM'!BZ13</f>
        <v>6.9592286765955726E-3</v>
      </c>
      <c r="AI35" s="219">
        <f>+'Data NĂM'!CA13</f>
        <v>0</v>
      </c>
      <c r="AJ35" s="219">
        <f>+'Data NĂM'!CB13</f>
        <v>0</v>
      </c>
      <c r="AK35" s="219">
        <f>+'Data NĂM'!CC13</f>
        <v>0</v>
      </c>
      <c r="AL35" s="219">
        <f>+'Data NĂM'!CD13</f>
        <v>0</v>
      </c>
      <c r="AM35" s="219">
        <f>+'Data NĂM'!CE13</f>
        <v>0</v>
      </c>
      <c r="AN35" s="106"/>
      <c r="AO35" s="112">
        <f>'5.26'!G13</f>
        <v>0</v>
      </c>
      <c r="AP35" s="112">
        <f>'5.26'!H13</f>
        <v>0</v>
      </c>
      <c r="AQ35" s="112">
        <f>'5.26'!I13</f>
        <v>0</v>
      </c>
      <c r="AR35" s="112">
        <f>'5.26'!J13</f>
        <v>0</v>
      </c>
      <c r="AS35" s="112">
        <f>'5.26'!K13</f>
        <v>0</v>
      </c>
      <c r="AT35" s="112">
        <f>'5.26'!L13</f>
        <v>0</v>
      </c>
      <c r="AU35" s="112">
        <f>'5.26'!M13</f>
        <v>0</v>
      </c>
      <c r="AV35" s="112">
        <f>'5.26'!N13</f>
        <v>0</v>
      </c>
      <c r="AW35" s="112">
        <f>'5.26'!O13</f>
        <v>0</v>
      </c>
      <c r="AX35" s="112">
        <f>'5.26'!P13</f>
        <v>0</v>
      </c>
      <c r="AY35" s="112">
        <f>'5.26'!Q13</f>
        <v>0</v>
      </c>
      <c r="AZ35" s="112">
        <f>'5.26'!R13</f>
        <v>0</v>
      </c>
      <c r="BA35" s="112">
        <f>'5.26'!S13</f>
        <v>0</v>
      </c>
      <c r="BB35" s="112">
        <f>'5.26'!T13</f>
        <v>0</v>
      </c>
      <c r="BC35" s="112">
        <f>'5.26'!U13</f>
        <v>0</v>
      </c>
      <c r="BD35" s="112">
        <f>'5.26'!V13</f>
        <v>0</v>
      </c>
      <c r="BE35" s="112">
        <f>'5.26'!W13</f>
        <v>0</v>
      </c>
      <c r="BF35" s="112">
        <f>'5.26'!X13</f>
        <v>0</v>
      </c>
      <c r="BG35" s="112">
        <f>'5.26'!Y13</f>
        <v>0</v>
      </c>
      <c r="BH35" s="112">
        <f>'5.26'!Z13</f>
        <v>0</v>
      </c>
      <c r="BI35" s="112">
        <f>'5.26'!AA13</f>
        <v>0</v>
      </c>
      <c r="BJ35" s="112">
        <f>'5.26'!AB13</f>
        <v>0</v>
      </c>
      <c r="BK35" s="112">
        <f>'5.26'!AC13</f>
        <v>0</v>
      </c>
      <c r="BL35" s="112">
        <f>'5.26'!AD13</f>
        <v>0</v>
      </c>
      <c r="BM35" s="112">
        <f>'5.26'!AE13</f>
        <v>0</v>
      </c>
      <c r="BN35" s="112">
        <f>'5.26'!AF13</f>
        <v>0</v>
      </c>
      <c r="BO35" s="112">
        <f>'5.26'!AG13</f>
        <v>0</v>
      </c>
      <c r="BP35" s="112">
        <f>'5.26'!AH13</f>
        <v>0</v>
      </c>
      <c r="BQ35" s="112">
        <f>'5.26'!AI13</f>
        <v>119.193</v>
      </c>
      <c r="BR35" s="112">
        <f>'5.26'!AJ13</f>
        <v>484.541</v>
      </c>
      <c r="BS35" s="112">
        <f>'5.26'!AK13</f>
        <v>428.67399999999998</v>
      </c>
      <c r="BT35" s="112">
        <f>'5.26'!AL13</f>
        <v>0</v>
      </c>
      <c r="BU35" s="105"/>
    </row>
    <row r="36" spans="2:73" s="77" customFormat="1" ht="32.4" customHeight="1">
      <c r="B36" s="78"/>
      <c r="N36" s="79"/>
      <c r="Q36" s="492"/>
      <c r="R36" s="521"/>
      <c r="S36" s="522"/>
      <c r="T36" s="120" t="s">
        <v>28</v>
      </c>
      <c r="U36" s="121" t="s">
        <v>3</v>
      </c>
      <c r="V36" s="189">
        <f t="shared" ref="V36:Y36" si="176">SUM(V33:V35)</f>
        <v>66061.703999999998</v>
      </c>
      <c r="W36" s="189">
        <f t="shared" si="176"/>
        <v>118965.1361689</v>
      </c>
      <c r="X36" s="385">
        <f t="shared" si="176"/>
        <v>123844.25900000001</v>
      </c>
      <c r="Y36" s="386">
        <f t="shared" si="176"/>
        <v>120737.95799999998</v>
      </c>
      <c r="Z36" s="386">
        <f t="shared" ref="Z36:AA36" si="177">SUM(Z33:Z35)</f>
        <v>148037.459</v>
      </c>
      <c r="AA36" s="386">
        <f t="shared" si="177"/>
        <v>64656.521999999997</v>
      </c>
      <c r="AB36" s="221">
        <f>SUM(AB33:AB35)</f>
        <v>13123.199000000001</v>
      </c>
      <c r="AC36" s="221">
        <f t="shared" ref="AC36" si="178">SUM(AC33:AC35)</f>
        <v>12077.358999999999</v>
      </c>
      <c r="AD36" s="221">
        <f t="shared" ref="AD36" si="179">SUM(AD33:AD35)</f>
        <v>13311.084000000003</v>
      </c>
      <c r="AE36" s="221">
        <f t="shared" ref="AE36:AF36" si="180">SUM(AE33:AE35)</f>
        <v>13025.609999999999</v>
      </c>
      <c r="AF36" s="221">
        <f t="shared" si="180"/>
        <v>13119.27</v>
      </c>
      <c r="AG36" s="221">
        <f t="shared" ref="AG36:AM36" si="181">SUM(AG33:AG35)</f>
        <v>0.10810207809933553</v>
      </c>
      <c r="AH36" s="221">
        <f t="shared" si="181"/>
        <v>2.0776689556659789E-2</v>
      </c>
      <c r="AI36" s="221">
        <f t="shared" si="181"/>
        <v>0</v>
      </c>
      <c r="AJ36" s="221">
        <f t="shared" si="181"/>
        <v>0</v>
      </c>
      <c r="AK36" s="221">
        <f t="shared" si="181"/>
        <v>0</v>
      </c>
      <c r="AL36" s="221">
        <f t="shared" si="181"/>
        <v>0</v>
      </c>
      <c r="AM36" s="221">
        <f t="shared" si="181"/>
        <v>0</v>
      </c>
      <c r="AN36" s="123"/>
      <c r="AO36" s="122">
        <f t="shared" ref="AO36:BH36" si="182">AO33+AO34+AO35</f>
        <v>312.28800000000001</v>
      </c>
      <c r="AP36" s="122">
        <f t="shared" si="182"/>
        <v>403.92899999999997</v>
      </c>
      <c r="AQ36" s="122">
        <f t="shared" si="182"/>
        <v>409.428</v>
      </c>
      <c r="AR36" s="122">
        <f t="shared" si="182"/>
        <v>452.12599999999998</v>
      </c>
      <c r="AS36" s="122">
        <f t="shared" si="182"/>
        <v>507.52499999999998</v>
      </c>
      <c r="AT36" s="122">
        <f t="shared" si="182"/>
        <v>516.42700000000002</v>
      </c>
      <c r="AU36" s="122">
        <f t="shared" si="182"/>
        <v>491.10500000000002</v>
      </c>
      <c r="AV36" s="122">
        <f t="shared" si="182"/>
        <v>435.798</v>
      </c>
      <c r="AW36" s="122">
        <f t="shared" si="182"/>
        <v>489.23200000000003</v>
      </c>
      <c r="AX36" s="122">
        <f t="shared" si="182"/>
        <v>437.57600000000002</v>
      </c>
      <c r="AY36" s="122">
        <f t="shared" si="182"/>
        <v>416.22300000000001</v>
      </c>
      <c r="AZ36" s="122">
        <f t="shared" si="182"/>
        <v>253.82300000000001</v>
      </c>
      <c r="BA36" s="122">
        <f t="shared" si="182"/>
        <v>0</v>
      </c>
      <c r="BB36" s="122">
        <f t="shared" si="182"/>
        <v>270.27699999999999</v>
      </c>
      <c r="BC36" s="122">
        <f t="shared" si="182"/>
        <v>481.73399999999998</v>
      </c>
      <c r="BD36" s="122">
        <f t="shared" si="182"/>
        <v>286.13900000000001</v>
      </c>
      <c r="BE36" s="122">
        <f t="shared" si="182"/>
        <v>473.30900000000003</v>
      </c>
      <c r="BF36" s="122">
        <f t="shared" si="182"/>
        <v>473.16899999999998</v>
      </c>
      <c r="BG36" s="122">
        <f t="shared" si="182"/>
        <v>453.90699999999998</v>
      </c>
      <c r="BH36" s="122">
        <f t="shared" si="182"/>
        <v>494.69900000000001</v>
      </c>
      <c r="BI36" s="122">
        <f>BI33+BI34+BI35</f>
        <v>484.96100000000001</v>
      </c>
      <c r="BJ36" s="122">
        <f t="shared" ref="BJ36:BR36" si="183">BJ33+BJ34+BJ35</f>
        <v>426.851</v>
      </c>
      <c r="BK36" s="122">
        <f t="shared" si="183"/>
        <v>510.07499999999999</v>
      </c>
      <c r="BL36" s="122">
        <f t="shared" si="183"/>
        <v>525.928</v>
      </c>
      <c r="BM36" s="122">
        <f t="shared" si="183"/>
        <v>517.88300000000004</v>
      </c>
      <c r="BN36" s="122">
        <f t="shared" si="183"/>
        <v>437.34</v>
      </c>
      <c r="BO36" s="122">
        <f t="shared" si="183"/>
        <v>481.05700000000002</v>
      </c>
      <c r="BP36" s="122">
        <f t="shared" si="183"/>
        <v>315.52800000000002</v>
      </c>
      <c r="BQ36" s="122">
        <f t="shared" si="183"/>
        <v>447.71800000000002</v>
      </c>
      <c r="BR36" s="122">
        <f t="shared" si="183"/>
        <v>484.541</v>
      </c>
      <c r="BS36" s="122">
        <f t="shared" ref="BS36" si="184">BS33+BS34+BS35</f>
        <v>428.67399999999998</v>
      </c>
      <c r="BT36" s="122">
        <f t="shared" ref="BT36" si="185">BT33+BT34+BT35</f>
        <v>0</v>
      </c>
      <c r="BU36" s="105"/>
    </row>
    <row r="37" spans="2:73" s="77" customFormat="1" ht="32.4" customHeight="1">
      <c r="B37" s="78"/>
      <c r="N37" s="79"/>
      <c r="Q37" s="492"/>
      <c r="R37" s="490" t="s">
        <v>12</v>
      </c>
      <c r="S37" s="490" t="s">
        <v>11</v>
      </c>
      <c r="T37" s="124" t="s">
        <v>13</v>
      </c>
      <c r="U37" s="92" t="s">
        <v>3</v>
      </c>
      <c r="V37" s="187">
        <f>'Data NĂM'!F15</f>
        <v>-5888.6884316038413</v>
      </c>
      <c r="W37" s="187">
        <f>'Data NĂM'!G15</f>
        <v>-1568.9088488404959</v>
      </c>
      <c r="X37" s="205">
        <f>'Data NĂM'!H15</f>
        <v>-1259.3738657415488</v>
      </c>
      <c r="Y37" s="236">
        <f>'Data NĂM'!I15</f>
        <v>-696.44584346979536</v>
      </c>
      <c r="Z37" s="236">
        <f>'Data NĂM'!J15</f>
        <v>-1935.8362311709404</v>
      </c>
      <c r="AA37" s="236">
        <f>'Data NĂM'!K15</f>
        <v>-349.66600000000005</v>
      </c>
      <c r="AB37" s="222">
        <f>+'Data NĂM'!BP15</f>
        <v>-210.49800000000002</v>
      </c>
      <c r="AC37" s="222">
        <f>+'Data NĂM'!BQ15</f>
        <v>-37.858999999999995</v>
      </c>
      <c r="AD37" s="222">
        <f>+'Data NĂM'!BR15</f>
        <v>-37.370999999999974</v>
      </c>
      <c r="AE37" s="222">
        <f>+'Data NĂM'!BS15</f>
        <v>34.559999999999981</v>
      </c>
      <c r="AF37" s="222">
        <f>+'Data NĂM'!BT15</f>
        <v>-98.49799999999999</v>
      </c>
      <c r="AG37" s="222">
        <f>+'Data NĂM'!BY15</f>
        <v>0</v>
      </c>
      <c r="AH37" s="222">
        <f>+'Data NĂM'!BZ15</f>
        <v>0</v>
      </c>
      <c r="AI37" s="222">
        <f>+'Data NĂM'!CA15</f>
        <v>0</v>
      </c>
      <c r="AJ37" s="222">
        <f>+'Data NĂM'!CB15</f>
        <v>0</v>
      </c>
      <c r="AK37" s="222">
        <f>+'Data NĂM'!CC15</f>
        <v>0</v>
      </c>
      <c r="AL37" s="222">
        <f>+'Data NĂM'!CD15</f>
        <v>0</v>
      </c>
      <c r="AM37" s="222">
        <f>+'Data NĂM'!CE15</f>
        <v>0</v>
      </c>
      <c r="AN37" s="106"/>
      <c r="AO37" s="125">
        <f t="shared" ref="AO37:BH37" si="186">AO33-AO29</f>
        <v>-24.887</v>
      </c>
      <c r="AP37" s="125">
        <f t="shared" si="186"/>
        <v>0.32800000000000296</v>
      </c>
      <c r="AQ37" s="125">
        <f t="shared" si="186"/>
        <v>-0.47600000000000087</v>
      </c>
      <c r="AR37" s="125">
        <f t="shared" si="186"/>
        <v>0</v>
      </c>
      <c r="AS37" s="125">
        <f t="shared" si="186"/>
        <v>0</v>
      </c>
      <c r="AT37" s="125">
        <f t="shared" si="186"/>
        <v>0</v>
      </c>
      <c r="AU37" s="125">
        <f t="shared" si="186"/>
        <v>0</v>
      </c>
      <c r="AV37" s="125">
        <f t="shared" si="186"/>
        <v>0</v>
      </c>
      <c r="AW37" s="125">
        <f t="shared" si="186"/>
        <v>0</v>
      </c>
      <c r="AX37" s="125">
        <f t="shared" si="186"/>
        <v>0</v>
      </c>
      <c r="AY37" s="125">
        <f t="shared" si="186"/>
        <v>0</v>
      </c>
      <c r="AZ37" s="125">
        <f t="shared" si="186"/>
        <v>-36.11699999999999</v>
      </c>
      <c r="BA37" s="125">
        <f t="shared" si="186"/>
        <v>0</v>
      </c>
      <c r="BB37" s="125">
        <f t="shared" si="186"/>
        <v>-21.927000000000007</v>
      </c>
      <c r="BC37" s="125">
        <f t="shared" si="186"/>
        <v>0</v>
      </c>
      <c r="BD37" s="125">
        <f t="shared" si="186"/>
        <v>-1.7379999999999995</v>
      </c>
      <c r="BE37" s="125">
        <f t="shared" si="186"/>
        <v>0</v>
      </c>
      <c r="BF37" s="125">
        <f t="shared" si="186"/>
        <v>0</v>
      </c>
      <c r="BG37" s="125">
        <f t="shared" si="186"/>
        <v>0</v>
      </c>
      <c r="BH37" s="125">
        <f t="shared" si="186"/>
        <v>0</v>
      </c>
      <c r="BI37" s="125">
        <f>BI33-BI29</f>
        <v>0</v>
      </c>
      <c r="BJ37" s="125">
        <f t="shared" ref="BJ37:BR37" si="187">BJ33-BJ29</f>
        <v>0</v>
      </c>
      <c r="BK37" s="125">
        <f t="shared" si="187"/>
        <v>0</v>
      </c>
      <c r="BL37" s="125">
        <f t="shared" si="187"/>
        <v>0</v>
      </c>
      <c r="BM37" s="125">
        <f t="shared" si="187"/>
        <v>0</v>
      </c>
      <c r="BN37" s="125">
        <f t="shared" si="187"/>
        <v>0</v>
      </c>
      <c r="BO37" s="125">
        <f t="shared" si="187"/>
        <v>-3.5529999999999973</v>
      </c>
      <c r="BP37" s="125">
        <f t="shared" si="187"/>
        <v>-9.9689999999999941</v>
      </c>
      <c r="BQ37" s="125">
        <f t="shared" si="187"/>
        <v>-0.15899999999999892</v>
      </c>
      <c r="BR37" s="125">
        <f t="shared" si="187"/>
        <v>0</v>
      </c>
      <c r="BS37" s="125">
        <f t="shared" ref="BS37" si="188">BS33-BS29</f>
        <v>0</v>
      </c>
      <c r="BT37" s="125">
        <f t="shared" ref="BT37" si="189">BT33-BT29</f>
        <v>0</v>
      </c>
      <c r="BU37" s="105"/>
    </row>
    <row r="38" spans="2:73" s="77" customFormat="1" ht="32.4" customHeight="1">
      <c r="B38" s="78"/>
      <c r="N38" s="79"/>
      <c r="Q38" s="492"/>
      <c r="R38" s="490"/>
      <c r="S38" s="490"/>
      <c r="T38" s="126" t="s">
        <v>14</v>
      </c>
      <c r="U38" s="114" t="s">
        <v>3</v>
      </c>
      <c r="V38" s="187">
        <f>'Data NĂM'!F16</f>
        <v>-3229.2291446771305</v>
      </c>
      <c r="W38" s="187">
        <f>'Data NĂM'!G16</f>
        <v>-1605.5993104865338</v>
      </c>
      <c r="X38" s="205">
        <f>'Data NĂM'!H16</f>
        <v>-1803.0807403325161</v>
      </c>
      <c r="Y38" s="236">
        <f>'Data NĂM'!I16</f>
        <v>-4805.4921559076984</v>
      </c>
      <c r="Z38" s="236">
        <f>'Data NĂM'!J16</f>
        <v>-11311.053292434352</v>
      </c>
      <c r="AA38" s="236">
        <f>'Data NĂM'!K16</f>
        <v>-3086.6319999999996</v>
      </c>
      <c r="AB38" s="222">
        <f>+'Data NĂM'!BP16</f>
        <v>-788.57700000000011</v>
      </c>
      <c r="AC38" s="222">
        <f>+'Data NĂM'!BQ16</f>
        <v>-389.68499999999989</v>
      </c>
      <c r="AD38" s="222">
        <f>+'Data NĂM'!BR16</f>
        <v>-634.68399999999986</v>
      </c>
      <c r="AE38" s="222">
        <f>+'Data NĂM'!BS16</f>
        <v>-584.04599999999982</v>
      </c>
      <c r="AF38" s="222">
        <f>+'Data NĂM'!BT16</f>
        <v>-689.63999999999987</v>
      </c>
      <c r="AG38" s="222">
        <f>+'Data NĂM'!BY16</f>
        <v>0</v>
      </c>
      <c r="AH38" s="222">
        <f>+'Data NĂM'!BZ16</f>
        <v>0</v>
      </c>
      <c r="AI38" s="222">
        <f>+'Data NĂM'!CA16</f>
        <v>0</v>
      </c>
      <c r="AJ38" s="222">
        <f>+'Data NĂM'!CB16</f>
        <v>0</v>
      </c>
      <c r="AK38" s="222">
        <f>+'Data NĂM'!CC16</f>
        <v>0</v>
      </c>
      <c r="AL38" s="222">
        <f>+'Data NĂM'!CD16</f>
        <v>0</v>
      </c>
      <c r="AM38" s="222">
        <f>+'Data NĂM'!CE16</f>
        <v>0</v>
      </c>
      <c r="AN38" s="106"/>
      <c r="AO38" s="125">
        <f t="shared" ref="AO38:BH38" si="190">AO34-AO30</f>
        <v>-12.825000000000003</v>
      </c>
      <c r="AP38" s="125">
        <f t="shared" si="190"/>
        <v>-16.399000000000001</v>
      </c>
      <c r="AQ38" s="125">
        <f t="shared" si="190"/>
        <v>-70.096000000000004</v>
      </c>
      <c r="AR38" s="125">
        <f t="shared" si="190"/>
        <v>-37.874000000000024</v>
      </c>
      <c r="AS38" s="125">
        <f t="shared" si="190"/>
        <v>7.5249999999999773</v>
      </c>
      <c r="AT38" s="125">
        <f t="shared" si="190"/>
        <v>-3.5729999999999791</v>
      </c>
      <c r="AU38" s="125">
        <f t="shared" si="190"/>
        <v>1.1050000000000182</v>
      </c>
      <c r="AV38" s="125">
        <f t="shared" si="190"/>
        <v>-14.201999999999998</v>
      </c>
      <c r="AW38" s="125">
        <f t="shared" si="190"/>
        <v>-20.767999999999972</v>
      </c>
      <c r="AX38" s="125">
        <f t="shared" si="190"/>
        <v>-12.423999999999978</v>
      </c>
      <c r="AY38" s="125">
        <f t="shared" si="190"/>
        <v>-63.776999999999987</v>
      </c>
      <c r="AZ38" s="125">
        <f t="shared" si="190"/>
        <v>-10.060000000000002</v>
      </c>
      <c r="BA38" s="125">
        <f t="shared" si="190"/>
        <v>0</v>
      </c>
      <c r="BB38" s="125">
        <f t="shared" si="190"/>
        <v>-97.795999999999992</v>
      </c>
      <c r="BC38" s="125">
        <f t="shared" si="190"/>
        <v>-18.26600000000002</v>
      </c>
      <c r="BD38" s="125">
        <f t="shared" si="190"/>
        <v>-12.12299999999999</v>
      </c>
      <c r="BE38" s="125">
        <f t="shared" si="190"/>
        <v>-36.690999999999974</v>
      </c>
      <c r="BF38" s="125">
        <f t="shared" si="190"/>
        <v>-26.831000000000017</v>
      </c>
      <c r="BG38" s="125">
        <f t="shared" si="190"/>
        <v>-6.0930000000000177</v>
      </c>
      <c r="BH38" s="125">
        <f t="shared" si="190"/>
        <v>-5.3009999999999877</v>
      </c>
      <c r="BI38" s="125">
        <f>BI34-BI30</f>
        <v>-25.038999999999987</v>
      </c>
      <c r="BJ38" s="125">
        <f t="shared" ref="BJ38:BR38" si="191">BJ34-BJ30</f>
        <v>-73.149000000000001</v>
      </c>
      <c r="BK38" s="125">
        <f t="shared" si="191"/>
        <v>-19.925000000000011</v>
      </c>
      <c r="BL38" s="125">
        <f t="shared" si="191"/>
        <v>-14.072000000000003</v>
      </c>
      <c r="BM38" s="125">
        <f t="shared" si="191"/>
        <v>-12.116999999999962</v>
      </c>
      <c r="BN38" s="125">
        <f t="shared" si="191"/>
        <v>-42.660000000000025</v>
      </c>
      <c r="BO38" s="125">
        <f t="shared" si="191"/>
        <v>-15.389999999999986</v>
      </c>
      <c r="BP38" s="125">
        <f t="shared" si="191"/>
        <v>-4.5029999999999859</v>
      </c>
      <c r="BQ38" s="125">
        <f t="shared" si="191"/>
        <v>-26.315999999999974</v>
      </c>
      <c r="BR38" s="125">
        <f t="shared" si="191"/>
        <v>0</v>
      </c>
      <c r="BS38" s="125">
        <f t="shared" ref="BS38" si="192">BS34-BS30</f>
        <v>0</v>
      </c>
      <c r="BT38" s="125">
        <f t="shared" ref="BT38" si="193">BT34-BT30</f>
        <v>0</v>
      </c>
      <c r="BU38" s="83"/>
    </row>
    <row r="39" spans="2:73" s="77" customFormat="1" ht="32.4" customHeight="1">
      <c r="B39" s="78"/>
      <c r="N39" s="79"/>
      <c r="Q39" s="492"/>
      <c r="R39" s="490"/>
      <c r="S39" s="490"/>
      <c r="T39" s="126" t="s">
        <v>97</v>
      </c>
      <c r="U39" s="114" t="s">
        <v>3</v>
      </c>
      <c r="V39" s="187">
        <f>'Data NĂM'!F17</f>
        <v>0</v>
      </c>
      <c r="W39" s="187">
        <f>'Data NĂM'!G17</f>
        <v>-42.500759045009886</v>
      </c>
      <c r="X39" s="205">
        <f>'Data NĂM'!H17</f>
        <v>-122.71847080986299</v>
      </c>
      <c r="Y39" s="236">
        <f>'Data NĂM'!I17</f>
        <v>-1071.0229090346841</v>
      </c>
      <c r="Z39" s="236">
        <f>'Data NĂM'!J17</f>
        <v>-1805.8420000000001</v>
      </c>
      <c r="AA39" s="236">
        <f>'Data NĂM'!K17</f>
        <v>-242.18</v>
      </c>
      <c r="AB39" s="222">
        <f>+'Data NĂM'!BP17</f>
        <v>-77.725999999999985</v>
      </c>
      <c r="AC39" s="222">
        <f>+'Data NĂM'!BQ17</f>
        <v>-50.09699999999998</v>
      </c>
      <c r="AD39" s="222">
        <f>+'Data NĂM'!BR17</f>
        <v>-16.86099999999999</v>
      </c>
      <c r="AE39" s="222">
        <f>+'Data NĂM'!BS17</f>
        <v>-4.9039999999999964</v>
      </c>
      <c r="AF39" s="222">
        <f>+'Data NĂM'!BT17</f>
        <v>-92.592000000000027</v>
      </c>
      <c r="AG39" s="222">
        <f>+'Data NĂM'!BY17</f>
        <v>0</v>
      </c>
      <c r="AH39" s="222">
        <f>+'Data NĂM'!BZ17</f>
        <v>0</v>
      </c>
      <c r="AI39" s="222">
        <f>+'Data NĂM'!CA17</f>
        <v>0</v>
      </c>
      <c r="AJ39" s="222">
        <f>+'Data NĂM'!CB17</f>
        <v>0</v>
      </c>
      <c r="AK39" s="222">
        <f>+'Data NĂM'!CC17</f>
        <v>0</v>
      </c>
      <c r="AL39" s="222">
        <f>+'Data NĂM'!CD17</f>
        <v>0</v>
      </c>
      <c r="AM39" s="222">
        <f>+'Data NĂM'!CE17</f>
        <v>0</v>
      </c>
      <c r="AN39" s="443"/>
      <c r="AO39" s="125">
        <f t="shared" ref="AO39:BH39" si="194">AO35-AO31</f>
        <v>0</v>
      </c>
      <c r="AP39" s="125">
        <f t="shared" si="194"/>
        <v>0</v>
      </c>
      <c r="AQ39" s="125">
        <f t="shared" si="194"/>
        <v>0</v>
      </c>
      <c r="AR39" s="125">
        <f t="shared" si="194"/>
        <v>0</v>
      </c>
      <c r="AS39" s="125">
        <f t="shared" si="194"/>
        <v>0</v>
      </c>
      <c r="AT39" s="125">
        <f t="shared" si="194"/>
        <v>0</v>
      </c>
      <c r="AU39" s="125">
        <f t="shared" si="194"/>
        <v>0</v>
      </c>
      <c r="AV39" s="125">
        <f t="shared" si="194"/>
        <v>0</v>
      </c>
      <c r="AW39" s="125">
        <f t="shared" si="194"/>
        <v>0</v>
      </c>
      <c r="AX39" s="125">
        <f t="shared" si="194"/>
        <v>0</v>
      </c>
      <c r="AY39" s="125">
        <f t="shared" si="194"/>
        <v>0</v>
      </c>
      <c r="AZ39" s="125">
        <f t="shared" si="194"/>
        <v>0</v>
      </c>
      <c r="BA39" s="125">
        <f t="shared" si="194"/>
        <v>0</v>
      </c>
      <c r="BB39" s="125">
        <f t="shared" si="194"/>
        <v>0</v>
      </c>
      <c r="BC39" s="125">
        <f t="shared" si="194"/>
        <v>0</v>
      </c>
      <c r="BD39" s="125">
        <f t="shared" si="194"/>
        <v>0</v>
      </c>
      <c r="BE39" s="125">
        <f t="shared" si="194"/>
        <v>0</v>
      </c>
      <c r="BF39" s="125">
        <f t="shared" si="194"/>
        <v>0</v>
      </c>
      <c r="BG39" s="125">
        <f t="shared" si="194"/>
        <v>0</v>
      </c>
      <c r="BH39" s="125">
        <f t="shared" si="194"/>
        <v>0</v>
      </c>
      <c r="BI39" s="125">
        <f>BI35-BI31</f>
        <v>0</v>
      </c>
      <c r="BJ39" s="125">
        <f t="shared" ref="BJ39:BR39" si="195">BJ35-BJ31</f>
        <v>0</v>
      </c>
      <c r="BK39" s="125">
        <f t="shared" si="195"/>
        <v>0</v>
      </c>
      <c r="BL39" s="125">
        <f t="shared" si="195"/>
        <v>0</v>
      </c>
      <c r="BM39" s="125">
        <f t="shared" si="195"/>
        <v>0</v>
      </c>
      <c r="BN39" s="125">
        <f t="shared" si="195"/>
        <v>0</v>
      </c>
      <c r="BO39" s="125">
        <f t="shared" si="195"/>
        <v>0</v>
      </c>
      <c r="BP39" s="125">
        <f t="shared" si="195"/>
        <v>0</v>
      </c>
      <c r="BQ39" s="125">
        <f t="shared" si="195"/>
        <v>-5.8070000000000022</v>
      </c>
      <c r="BR39" s="125">
        <f t="shared" si="195"/>
        <v>-15.459000000000003</v>
      </c>
      <c r="BS39" s="125">
        <f t="shared" ref="BS39" si="196">BS35-BS31</f>
        <v>-71.326000000000022</v>
      </c>
      <c r="BT39" s="125">
        <f t="shared" ref="BT39" si="197">BT35-BT31</f>
        <v>0</v>
      </c>
      <c r="BU39" s="83"/>
    </row>
    <row r="40" spans="2:73" s="77" customFormat="1" ht="32.4" customHeight="1">
      <c r="B40" s="78"/>
      <c r="N40" s="79"/>
      <c r="Q40" s="493"/>
      <c r="R40" s="490"/>
      <c r="S40" s="490"/>
      <c r="T40" s="127" t="s">
        <v>15</v>
      </c>
      <c r="U40" s="128" t="s">
        <v>3</v>
      </c>
      <c r="V40" s="190">
        <f t="shared" ref="V40" si="198">SUM(V37:V39)</f>
        <v>-9117.9175762809718</v>
      </c>
      <c r="W40" s="190">
        <f t="shared" ref="W40:Y40" si="199">SUM(W37:W39)</f>
        <v>-3217.0089183720397</v>
      </c>
      <c r="X40" s="206">
        <f t="shared" si="199"/>
        <v>-3185.1730768839279</v>
      </c>
      <c r="Y40" s="237">
        <f t="shared" si="199"/>
        <v>-6572.9609084121776</v>
      </c>
      <c r="Z40" s="237">
        <f t="shared" ref="Z40:AA40" si="200">SUM(Z37:Z39)</f>
        <v>-15052.731523605293</v>
      </c>
      <c r="AA40" s="237">
        <f t="shared" si="200"/>
        <v>-3678.4779999999996</v>
      </c>
      <c r="AB40" s="223">
        <f>SUM(AB37:AB39)</f>
        <v>-1076.8010000000002</v>
      </c>
      <c r="AC40" s="223">
        <f t="shared" ref="AC40" si="201">SUM(AC37:AC39)</f>
        <v>-477.64099999999985</v>
      </c>
      <c r="AD40" s="223">
        <f t="shared" ref="AD40" si="202">SUM(AD37:AD39)</f>
        <v>-688.91599999999983</v>
      </c>
      <c r="AE40" s="223">
        <f t="shared" ref="AE40:AF40" si="203">SUM(AE37:AE39)</f>
        <v>-554.38999999999987</v>
      </c>
      <c r="AF40" s="223">
        <f t="shared" si="203"/>
        <v>-880.7299999999999</v>
      </c>
      <c r="AG40" s="223">
        <f t="shared" ref="AG40:AM40" si="204">SUM(AG37:AG39)</f>
        <v>0</v>
      </c>
      <c r="AH40" s="223">
        <f t="shared" si="204"/>
        <v>0</v>
      </c>
      <c r="AI40" s="223">
        <f t="shared" si="204"/>
        <v>0</v>
      </c>
      <c r="AJ40" s="223">
        <f t="shared" si="204"/>
        <v>0</v>
      </c>
      <c r="AK40" s="223">
        <f t="shared" si="204"/>
        <v>0</v>
      </c>
      <c r="AL40" s="223">
        <f t="shared" si="204"/>
        <v>0</v>
      </c>
      <c r="AM40" s="223">
        <f t="shared" si="204"/>
        <v>0</v>
      </c>
      <c r="AN40" s="443"/>
      <c r="AO40" s="129">
        <f>AO38+AO37+AO39</f>
        <v>-37.712000000000003</v>
      </c>
      <c r="AP40" s="129">
        <f t="shared" ref="AP40:BA40" si="205">AP38+AP37+AP39</f>
        <v>-16.070999999999998</v>
      </c>
      <c r="AQ40" s="129">
        <f t="shared" si="205"/>
        <v>-70.572000000000003</v>
      </c>
      <c r="AR40" s="129">
        <f t="shared" si="205"/>
        <v>-37.874000000000024</v>
      </c>
      <c r="AS40" s="129">
        <f t="shared" si="205"/>
        <v>7.5249999999999773</v>
      </c>
      <c r="AT40" s="129">
        <f t="shared" si="205"/>
        <v>-3.5729999999999791</v>
      </c>
      <c r="AU40" s="129">
        <f t="shared" si="205"/>
        <v>1.1050000000000182</v>
      </c>
      <c r="AV40" s="129">
        <f t="shared" si="205"/>
        <v>-14.201999999999998</v>
      </c>
      <c r="AW40" s="129">
        <f t="shared" si="205"/>
        <v>-20.767999999999972</v>
      </c>
      <c r="AX40" s="129">
        <f t="shared" si="205"/>
        <v>-12.423999999999978</v>
      </c>
      <c r="AY40" s="129">
        <f t="shared" si="205"/>
        <v>-63.776999999999987</v>
      </c>
      <c r="AZ40" s="129">
        <f t="shared" si="205"/>
        <v>-46.176999999999992</v>
      </c>
      <c r="BA40" s="129">
        <f t="shared" si="205"/>
        <v>0</v>
      </c>
      <c r="BB40" s="129">
        <f t="shared" ref="BB40:BH40" si="206">BB38+BB37</f>
        <v>-119.723</v>
      </c>
      <c r="BC40" s="129">
        <f t="shared" si="206"/>
        <v>-18.26600000000002</v>
      </c>
      <c r="BD40" s="129">
        <f t="shared" si="206"/>
        <v>-13.86099999999999</v>
      </c>
      <c r="BE40" s="129">
        <f t="shared" si="206"/>
        <v>-36.690999999999974</v>
      </c>
      <c r="BF40" s="129">
        <f t="shared" si="206"/>
        <v>-26.831000000000017</v>
      </c>
      <c r="BG40" s="129">
        <f t="shared" si="206"/>
        <v>-6.0930000000000177</v>
      </c>
      <c r="BH40" s="129">
        <f t="shared" si="206"/>
        <v>-5.3009999999999877</v>
      </c>
      <c r="BI40" s="129">
        <f>BI38+BI37</f>
        <v>-25.038999999999987</v>
      </c>
      <c r="BJ40" s="129">
        <f t="shared" ref="BJ40:BR40" si="207">BJ38+BJ37</f>
        <v>-73.149000000000001</v>
      </c>
      <c r="BK40" s="129">
        <f t="shared" si="207"/>
        <v>-19.925000000000011</v>
      </c>
      <c r="BL40" s="129">
        <f t="shared" si="207"/>
        <v>-14.072000000000003</v>
      </c>
      <c r="BM40" s="129">
        <f t="shared" si="207"/>
        <v>-12.116999999999962</v>
      </c>
      <c r="BN40" s="129">
        <f t="shared" si="207"/>
        <v>-42.660000000000025</v>
      </c>
      <c r="BO40" s="129">
        <f t="shared" si="207"/>
        <v>-18.942999999999984</v>
      </c>
      <c r="BP40" s="129">
        <f t="shared" si="207"/>
        <v>-14.47199999999998</v>
      </c>
      <c r="BQ40" s="129">
        <f t="shared" si="207"/>
        <v>-26.474999999999973</v>
      </c>
      <c r="BR40" s="129">
        <f t="shared" si="207"/>
        <v>0</v>
      </c>
      <c r="BS40" s="129">
        <f t="shared" ref="BS40" si="208">BS38+BS37</f>
        <v>0</v>
      </c>
      <c r="BT40" s="129">
        <f t="shared" ref="BT40" si="209">BT38+BT37</f>
        <v>0</v>
      </c>
      <c r="BU40" s="83"/>
    </row>
    <row r="41" spans="2:73" s="131" customFormat="1" ht="30.6" customHeight="1">
      <c r="B41" s="130"/>
      <c r="N41" s="132"/>
      <c r="Q41" s="507" t="s">
        <v>72</v>
      </c>
      <c r="R41" s="508" t="s">
        <v>90</v>
      </c>
      <c r="S41" s="509" t="s">
        <v>48</v>
      </c>
      <c r="T41" s="510" t="s">
        <v>49</v>
      </c>
      <c r="U41" s="133" t="s">
        <v>50</v>
      </c>
      <c r="V41" s="187">
        <f>'Data NĂM'!F19</f>
        <v>552</v>
      </c>
      <c r="W41" s="187">
        <f>'Data NĂM'!G19</f>
        <v>498</v>
      </c>
      <c r="X41" s="205">
        <f>'Data NĂM'!H19</f>
        <v>404</v>
      </c>
      <c r="Y41" s="236">
        <f>'Data NĂM'!I19</f>
        <v>427</v>
      </c>
      <c r="Z41" s="236">
        <f>'Data NĂM'!J19</f>
        <v>507</v>
      </c>
      <c r="AA41" s="236">
        <f>'Data NĂM'!K19</f>
        <v>137</v>
      </c>
      <c r="AB41" s="224">
        <f>+'Data NĂM'!BP19</f>
        <v>51</v>
      </c>
      <c r="AC41" s="224">
        <f>+'Data NĂM'!BQ19</f>
        <v>20</v>
      </c>
      <c r="AD41" s="224">
        <f>+'Data NĂM'!BR19</f>
        <v>10</v>
      </c>
      <c r="AE41" s="224">
        <f>+'Data NĂM'!BS19</f>
        <v>15</v>
      </c>
      <c r="AF41" s="224">
        <f>+'Data NĂM'!BT19</f>
        <v>41</v>
      </c>
      <c r="AG41" s="224">
        <f>+'Data NĂM'!BY19</f>
        <v>0</v>
      </c>
      <c r="AH41" s="224">
        <f>+'Data NĂM'!BZ19</f>
        <v>0</v>
      </c>
      <c r="AI41" s="224">
        <f>+'Data NĂM'!CA19</f>
        <v>0</v>
      </c>
      <c r="AJ41" s="224">
        <f>+'Data NĂM'!CB19</f>
        <v>0</v>
      </c>
      <c r="AK41" s="224">
        <f>+'Data NĂM'!CC19</f>
        <v>0</v>
      </c>
      <c r="AL41" s="224">
        <f>+'Data NĂM'!CD19</f>
        <v>0</v>
      </c>
      <c r="AM41" s="224">
        <f>+'Data NĂM'!CE19</f>
        <v>0</v>
      </c>
      <c r="AN41" s="443"/>
      <c r="AO41" s="134">
        <f>'5.26'!G19</f>
        <v>1</v>
      </c>
      <c r="AP41" s="134">
        <f>'5.26'!H19</f>
        <v>3</v>
      </c>
      <c r="AQ41" s="134">
        <f>'5.26'!I19</f>
        <v>0</v>
      </c>
      <c r="AR41" s="134">
        <f>'5.26'!J19</f>
        <v>0</v>
      </c>
      <c r="AS41" s="134">
        <f>'5.26'!K19</f>
        <v>0</v>
      </c>
      <c r="AT41" s="134">
        <f>'5.26'!L19</f>
        <v>0</v>
      </c>
      <c r="AU41" s="134">
        <f>'5.26'!M19</f>
        <v>0</v>
      </c>
      <c r="AV41" s="134">
        <f>'5.26'!N19</f>
        <v>0</v>
      </c>
      <c r="AW41" s="134">
        <f>'5.26'!O19</f>
        <v>1</v>
      </c>
      <c r="AX41" s="134">
        <f>'5.26'!P19</f>
        <v>0</v>
      </c>
      <c r="AY41" s="134">
        <f>'5.26'!Q19</f>
        <v>0</v>
      </c>
      <c r="AZ41" s="134">
        <f>'5.26'!R19</f>
        <v>1</v>
      </c>
      <c r="BA41" s="134">
        <f>'5.26'!S19</f>
        <v>0</v>
      </c>
      <c r="BB41" s="134">
        <f>'5.26'!T19</f>
        <v>5</v>
      </c>
      <c r="BC41" s="134">
        <f>'5.26'!U19</f>
        <v>5</v>
      </c>
      <c r="BD41" s="134">
        <f>'5.26'!V19</f>
        <v>3</v>
      </c>
      <c r="BE41" s="134">
        <f>'5.26'!W19</f>
        <v>2</v>
      </c>
      <c r="BF41" s="134">
        <f>'5.26'!X19</f>
        <v>4</v>
      </c>
      <c r="BG41" s="134">
        <f>'5.26'!Y19</f>
        <v>4</v>
      </c>
      <c r="BH41" s="134">
        <f>'5.26'!Z19</f>
        <v>3</v>
      </c>
      <c r="BI41" s="134">
        <f>'5.26'!AA19</f>
        <v>1</v>
      </c>
      <c r="BJ41" s="134">
        <f>'5.26'!AB19</f>
        <v>0</v>
      </c>
      <c r="BK41" s="134">
        <f>'5.26'!AC19</f>
        <v>0</v>
      </c>
      <c r="BL41" s="134">
        <f>'5.26'!AD19</f>
        <v>0</v>
      </c>
      <c r="BM41" s="134">
        <f>'5.26'!AE19</f>
        <v>0</v>
      </c>
      <c r="BN41" s="134">
        <f>'5.26'!AF19</f>
        <v>0</v>
      </c>
      <c r="BO41" s="134">
        <f>'5.26'!AG19</f>
        <v>1</v>
      </c>
      <c r="BP41" s="134">
        <f>'5.26'!AH19</f>
        <v>2</v>
      </c>
      <c r="BQ41" s="134">
        <f>'5.26'!AI19</f>
        <v>5</v>
      </c>
      <c r="BR41" s="134">
        <f>'5.26'!AJ19</f>
        <v>0</v>
      </c>
      <c r="BS41" s="134">
        <f>'5.26'!AK19</f>
        <v>0</v>
      </c>
      <c r="BT41" s="134">
        <f>'5.26'!AL19</f>
        <v>0</v>
      </c>
      <c r="BU41" s="134"/>
    </row>
    <row r="42" spans="2:73" s="131" customFormat="1" ht="30.6" customHeight="1" thickBot="1">
      <c r="B42" s="135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7"/>
      <c r="Q42" s="507"/>
      <c r="R42" s="508"/>
      <c r="S42" s="509"/>
      <c r="T42" s="510"/>
      <c r="U42" s="138" t="s">
        <v>59</v>
      </c>
      <c r="V42" s="187">
        <f>'Data NĂM'!F20</f>
        <v>3002.8757725817068</v>
      </c>
      <c r="W42" s="187">
        <f>'Data NĂM'!G20</f>
        <v>1827.6666666666667</v>
      </c>
      <c r="X42" s="205">
        <f>'Data NĂM'!H20</f>
        <v>1305</v>
      </c>
      <c r="Y42" s="236">
        <f>'Data NĂM'!I20</f>
        <v>1901</v>
      </c>
      <c r="Z42" s="236">
        <f>'Data NĂM'!J20</f>
        <v>2477</v>
      </c>
      <c r="AA42" s="236">
        <f>'Data NĂM'!K20</f>
        <v>635</v>
      </c>
      <c r="AB42" s="224">
        <f>+'Data NĂM'!BP20</f>
        <v>271</v>
      </c>
      <c r="AC42" s="224">
        <f>+'Data NĂM'!BQ20</f>
        <v>67</v>
      </c>
      <c r="AD42" s="224">
        <f>+'Data NĂM'!BR20</f>
        <v>54</v>
      </c>
      <c r="AE42" s="224">
        <f>+'Data NĂM'!BS20</f>
        <v>53</v>
      </c>
      <c r="AF42" s="224">
        <f>+'Data NĂM'!BT20</f>
        <v>190</v>
      </c>
      <c r="AG42" s="224">
        <f>+'Data NĂM'!BY20</f>
        <v>0</v>
      </c>
      <c r="AH42" s="224">
        <f>+'Data NĂM'!BZ20</f>
        <v>0</v>
      </c>
      <c r="AI42" s="224">
        <f>+'Data NĂM'!CA20</f>
        <v>0</v>
      </c>
      <c r="AJ42" s="224">
        <f>+'Data NĂM'!CB20</f>
        <v>0</v>
      </c>
      <c r="AK42" s="224">
        <f>+'Data NĂM'!CC20</f>
        <v>0</v>
      </c>
      <c r="AL42" s="224">
        <f>+'Data NĂM'!CD20</f>
        <v>0</v>
      </c>
      <c r="AM42" s="224">
        <f>+'Data NĂM'!CE20</f>
        <v>0</v>
      </c>
      <c r="AN42" s="443"/>
      <c r="AO42" s="134">
        <f>'5.26'!G20</f>
        <v>8</v>
      </c>
      <c r="AP42" s="134">
        <f>'5.26'!H20</f>
        <v>16</v>
      </c>
      <c r="AQ42" s="134">
        <f>'5.26'!I20</f>
        <v>0</v>
      </c>
      <c r="AR42" s="134">
        <f>'5.26'!J20</f>
        <v>0</v>
      </c>
      <c r="AS42" s="134">
        <f>'5.26'!K20</f>
        <v>0</v>
      </c>
      <c r="AT42" s="134">
        <f>'5.26'!L20</f>
        <v>0</v>
      </c>
      <c r="AU42" s="134">
        <f>'5.26'!M20</f>
        <v>0</v>
      </c>
      <c r="AV42" s="134">
        <f>'5.26'!N20</f>
        <v>0</v>
      </c>
      <c r="AW42" s="134">
        <f>'5.26'!O20</f>
        <v>5</v>
      </c>
      <c r="AX42" s="134">
        <f>'5.26'!P20</f>
        <v>0</v>
      </c>
      <c r="AY42" s="134">
        <f>'5.26'!Q20</f>
        <v>0</v>
      </c>
      <c r="AZ42" s="134">
        <f>'5.26'!R20</f>
        <v>6</v>
      </c>
      <c r="BA42" s="134">
        <f>'5.26'!S20</f>
        <v>0</v>
      </c>
      <c r="BB42" s="134">
        <f>'5.26'!T20</f>
        <v>15</v>
      </c>
      <c r="BC42" s="134">
        <f>'5.26'!U20</f>
        <v>18</v>
      </c>
      <c r="BD42" s="134">
        <f>'5.26'!V20</f>
        <v>14</v>
      </c>
      <c r="BE42" s="134">
        <f>'5.26'!W20</f>
        <v>10</v>
      </c>
      <c r="BF42" s="134">
        <f>'5.26'!X20</f>
        <v>17</v>
      </c>
      <c r="BG42" s="134">
        <f>'5.26'!Y20</f>
        <v>6</v>
      </c>
      <c r="BH42" s="134">
        <f>'5.26'!Z20</f>
        <v>5</v>
      </c>
      <c r="BI42" s="134">
        <f>'5.26'!AA20</f>
        <v>5</v>
      </c>
      <c r="BJ42" s="134">
        <f>'5.26'!AB20</f>
        <v>0</v>
      </c>
      <c r="BK42" s="134">
        <f>'5.26'!AC20</f>
        <v>0</v>
      </c>
      <c r="BL42" s="134">
        <f>'5.26'!AD20</f>
        <v>0</v>
      </c>
      <c r="BM42" s="134">
        <f>'5.26'!AE20</f>
        <v>0</v>
      </c>
      <c r="BN42" s="134">
        <f>'5.26'!AF20</f>
        <v>0</v>
      </c>
      <c r="BO42" s="134">
        <f>'5.26'!AG20</f>
        <v>19</v>
      </c>
      <c r="BP42" s="134">
        <f>'5.26'!AH20</f>
        <v>14</v>
      </c>
      <c r="BQ42" s="134">
        <f>'5.26'!AI20</f>
        <v>32</v>
      </c>
      <c r="BR42" s="134">
        <f>'5.26'!AJ20</f>
        <v>0</v>
      </c>
      <c r="BS42" s="134">
        <f>'5.26'!AK20</f>
        <v>0</v>
      </c>
      <c r="BT42" s="134">
        <f>'5.26'!AL20</f>
        <v>0</v>
      </c>
      <c r="BU42" s="134"/>
    </row>
    <row r="43" spans="2:73" s="131" customFormat="1" ht="30.6" customHeight="1">
      <c r="B43" s="480" t="s">
        <v>70</v>
      </c>
      <c r="C43" s="480"/>
      <c r="D43" s="480"/>
      <c r="E43" s="480"/>
      <c r="F43" s="480"/>
      <c r="G43" s="480"/>
      <c r="H43" s="480"/>
      <c r="I43" s="480"/>
      <c r="J43" s="480"/>
      <c r="Q43" s="507"/>
      <c r="R43" s="508"/>
      <c r="S43" s="509"/>
      <c r="T43" s="511" t="s">
        <v>51</v>
      </c>
      <c r="U43" s="139" t="s">
        <v>50</v>
      </c>
      <c r="V43" s="187">
        <f>'Data NĂM'!F21</f>
        <v>119</v>
      </c>
      <c r="W43" s="187">
        <f>'Data NĂM'!G21</f>
        <v>55</v>
      </c>
      <c r="X43" s="205">
        <f>'Data NĂM'!H21</f>
        <v>104</v>
      </c>
      <c r="Y43" s="236">
        <f>'Data NĂM'!I21</f>
        <v>115</v>
      </c>
      <c r="Z43" s="236">
        <f>'Data NĂM'!J21</f>
        <v>199</v>
      </c>
      <c r="AA43" s="236">
        <f>'Data NĂM'!K21</f>
        <v>49</v>
      </c>
      <c r="AB43" s="224">
        <f>+'Data NĂM'!BP21</f>
        <v>16</v>
      </c>
      <c r="AC43" s="224">
        <f>+'Data NĂM'!BQ21</f>
        <v>3</v>
      </c>
      <c r="AD43" s="224">
        <f>+'Data NĂM'!BR21</f>
        <v>10</v>
      </c>
      <c r="AE43" s="224">
        <f>+'Data NĂM'!BS21</f>
        <v>10</v>
      </c>
      <c r="AF43" s="224">
        <f>+'Data NĂM'!BT21</f>
        <v>10</v>
      </c>
      <c r="AG43" s="224">
        <f>+'Data NĂM'!BY21</f>
        <v>0</v>
      </c>
      <c r="AH43" s="224">
        <f>+'Data NĂM'!BZ21</f>
        <v>0</v>
      </c>
      <c r="AI43" s="224">
        <f>+'Data NĂM'!CA21</f>
        <v>0</v>
      </c>
      <c r="AJ43" s="224">
        <f>+'Data NĂM'!CB21</f>
        <v>0</v>
      </c>
      <c r="AK43" s="224">
        <f>+'Data NĂM'!CC21</f>
        <v>0</v>
      </c>
      <c r="AL43" s="224">
        <f>+'Data NĂM'!CD21</f>
        <v>0</v>
      </c>
      <c r="AM43" s="224">
        <f>+'Data NĂM'!CE21</f>
        <v>0</v>
      </c>
      <c r="AN43" s="443"/>
      <c r="AO43" s="134">
        <f>'5.26'!G21</f>
        <v>0</v>
      </c>
      <c r="AP43" s="134">
        <f>'5.26'!H21</f>
        <v>0</v>
      </c>
      <c r="AQ43" s="134">
        <f>'5.26'!I21</f>
        <v>2</v>
      </c>
      <c r="AR43" s="134">
        <f>'5.26'!J21</f>
        <v>1</v>
      </c>
      <c r="AS43" s="134">
        <f>'5.26'!K21</f>
        <v>0</v>
      </c>
      <c r="AT43" s="134">
        <f>'5.26'!L21</f>
        <v>0</v>
      </c>
      <c r="AU43" s="134">
        <f>'5.26'!M21</f>
        <v>0</v>
      </c>
      <c r="AV43" s="134">
        <f>'5.26'!N21</f>
        <v>0</v>
      </c>
      <c r="AW43" s="134">
        <f>'5.26'!O21</f>
        <v>0</v>
      </c>
      <c r="AX43" s="134">
        <f>'5.26'!P21</f>
        <v>0</v>
      </c>
      <c r="AY43" s="134">
        <f>'5.26'!Q21</f>
        <v>1</v>
      </c>
      <c r="AZ43" s="134">
        <f>'5.26'!R21</f>
        <v>1</v>
      </c>
      <c r="BA43" s="134">
        <f>'5.26'!S21</f>
        <v>0</v>
      </c>
      <c r="BB43" s="134">
        <f>'5.26'!T21</f>
        <v>0</v>
      </c>
      <c r="BC43" s="134">
        <f>'5.26'!U21</f>
        <v>0</v>
      </c>
      <c r="BD43" s="134">
        <f>'5.26'!V21</f>
        <v>0</v>
      </c>
      <c r="BE43" s="134">
        <f>'5.26'!W21</f>
        <v>1</v>
      </c>
      <c r="BF43" s="134">
        <f>'5.26'!X21</f>
        <v>1</v>
      </c>
      <c r="BG43" s="134">
        <f>'5.26'!Y21</f>
        <v>0</v>
      </c>
      <c r="BH43" s="134">
        <f>'5.26'!Z21</f>
        <v>0</v>
      </c>
      <c r="BI43" s="134">
        <f>'5.26'!AA21</f>
        <v>0</v>
      </c>
      <c r="BJ43" s="134">
        <f>'5.26'!AB21</f>
        <v>1</v>
      </c>
      <c r="BK43" s="134">
        <f>'5.26'!AC21</f>
        <v>0</v>
      </c>
      <c r="BL43" s="134">
        <f>'5.26'!AD21</f>
        <v>0</v>
      </c>
      <c r="BM43" s="134">
        <f>'5.26'!AE21</f>
        <v>0</v>
      </c>
      <c r="BN43" s="134">
        <f>'5.26'!AF21</f>
        <v>1</v>
      </c>
      <c r="BO43" s="134">
        <f>'5.26'!AG21</f>
        <v>0</v>
      </c>
      <c r="BP43" s="134">
        <f>'5.26'!AH21</f>
        <v>0</v>
      </c>
      <c r="BQ43" s="134">
        <f>'5.26'!AI21</f>
        <v>0</v>
      </c>
      <c r="BR43" s="134">
        <f>'5.26'!AJ21</f>
        <v>0</v>
      </c>
      <c r="BS43" s="134">
        <f>'5.26'!AK21</f>
        <v>1</v>
      </c>
      <c r="BT43" s="134">
        <f>'5.26'!AL21</f>
        <v>0</v>
      </c>
      <c r="BU43" s="134"/>
    </row>
    <row r="44" spans="2:73" s="131" customFormat="1" ht="30.6" customHeight="1" thickBot="1">
      <c r="B44" s="480"/>
      <c r="C44" s="480"/>
      <c r="D44" s="480"/>
      <c r="E44" s="480"/>
      <c r="F44" s="480"/>
      <c r="G44" s="480"/>
      <c r="H44" s="480"/>
      <c r="I44" s="480"/>
      <c r="J44" s="480"/>
      <c r="Q44" s="507"/>
      <c r="R44" s="508"/>
      <c r="S44" s="509"/>
      <c r="T44" s="511"/>
      <c r="U44" s="138" t="s">
        <v>59</v>
      </c>
      <c r="V44" s="187">
        <f>'Data NĂM'!F22</f>
        <v>4027.6</v>
      </c>
      <c r="W44" s="187">
        <f>'Data NĂM'!G22</f>
        <v>1940</v>
      </c>
      <c r="X44" s="205">
        <f>'Data NĂM'!H22</f>
        <v>2718</v>
      </c>
      <c r="Y44" s="236">
        <f>'Data NĂM'!I22</f>
        <v>4169</v>
      </c>
      <c r="Z44" s="236">
        <f>'Data NĂM'!J22</f>
        <v>9105</v>
      </c>
      <c r="AA44" s="236">
        <f>'Data NĂM'!K22</f>
        <v>1826</v>
      </c>
      <c r="AB44" s="224">
        <f>+'Data NĂM'!BP22</f>
        <v>478</v>
      </c>
      <c r="AC44" s="224">
        <f>+'Data NĂM'!BQ22</f>
        <v>65</v>
      </c>
      <c r="AD44" s="224">
        <f>+'Data NĂM'!BR22</f>
        <v>677</v>
      </c>
      <c r="AE44" s="224">
        <f>+'Data NĂM'!BS22</f>
        <v>283</v>
      </c>
      <c r="AF44" s="224">
        <f>+'Data NĂM'!BT22</f>
        <v>323</v>
      </c>
      <c r="AG44" s="224">
        <f>+'Data NĂM'!BY22</f>
        <v>0</v>
      </c>
      <c r="AH44" s="224">
        <f>+'Data NĂM'!BZ22</f>
        <v>0</v>
      </c>
      <c r="AI44" s="224">
        <f>+'Data NĂM'!CA22</f>
        <v>0</v>
      </c>
      <c r="AJ44" s="224">
        <f>+'Data NĂM'!CB22</f>
        <v>0</v>
      </c>
      <c r="AK44" s="224">
        <f>+'Data NĂM'!CC22</f>
        <v>0</v>
      </c>
      <c r="AL44" s="224">
        <f>+'Data NĂM'!CD22</f>
        <v>0</v>
      </c>
      <c r="AM44" s="224">
        <f>+'Data NĂM'!CE22</f>
        <v>0</v>
      </c>
      <c r="AN44" s="443"/>
      <c r="AO44" s="134">
        <f>'5.26'!G22</f>
        <v>0</v>
      </c>
      <c r="AP44" s="134">
        <f>'5.26'!H22</f>
        <v>0</v>
      </c>
      <c r="AQ44" s="134">
        <f>'5.26'!I22</f>
        <v>50</v>
      </c>
      <c r="AR44" s="134">
        <f>'5.26'!J22</f>
        <v>20</v>
      </c>
      <c r="AS44" s="134">
        <f>'5.26'!K22</f>
        <v>0</v>
      </c>
      <c r="AT44" s="134">
        <f>'5.26'!L22</f>
        <v>0</v>
      </c>
      <c r="AU44" s="134">
        <f>'5.26'!M22</f>
        <v>0</v>
      </c>
      <c r="AV44" s="134">
        <f>'5.26'!N22</f>
        <v>0</v>
      </c>
      <c r="AW44" s="134">
        <f>'5.26'!O22</f>
        <v>0</v>
      </c>
      <c r="AX44" s="134">
        <f>'5.26'!P22</f>
        <v>0</v>
      </c>
      <c r="AY44" s="134">
        <f>'5.26'!Q22</f>
        <v>54</v>
      </c>
      <c r="AZ44" s="134">
        <f>'5.26'!R22</f>
        <v>10</v>
      </c>
      <c r="BA44" s="134">
        <f>'5.26'!S22</f>
        <v>0</v>
      </c>
      <c r="BB44" s="134">
        <f>'5.26'!T22</f>
        <v>0</v>
      </c>
      <c r="BC44" s="134">
        <f>'5.26'!U22</f>
        <v>0</v>
      </c>
      <c r="BD44" s="134">
        <f>'5.26'!V22</f>
        <v>0</v>
      </c>
      <c r="BE44" s="134">
        <f>'5.26'!W22</f>
        <v>10</v>
      </c>
      <c r="BF44" s="134">
        <f>'5.26'!X22</f>
        <v>10</v>
      </c>
      <c r="BG44" s="134">
        <f>'5.26'!Y22</f>
        <v>0</v>
      </c>
      <c r="BH44" s="134">
        <f>'5.26'!Z22</f>
        <v>0</v>
      </c>
      <c r="BI44" s="134">
        <f>'5.26'!AA22</f>
        <v>0</v>
      </c>
      <c r="BJ44" s="134">
        <f>'5.26'!AB22</f>
        <v>55</v>
      </c>
      <c r="BK44" s="134">
        <f>'5.26'!AC22</f>
        <v>0</v>
      </c>
      <c r="BL44" s="134">
        <f>'5.26'!AD22</f>
        <v>0</v>
      </c>
      <c r="BM44" s="134">
        <f>'5.26'!AE22</f>
        <v>0</v>
      </c>
      <c r="BN44" s="134">
        <f>'5.26'!AF22</f>
        <v>43</v>
      </c>
      <c r="BO44" s="134">
        <f>'5.26'!AG22</f>
        <v>0</v>
      </c>
      <c r="BP44" s="134">
        <f>'5.26'!AH22</f>
        <v>0</v>
      </c>
      <c r="BQ44" s="134">
        <f>'5.26'!AI22</f>
        <v>0</v>
      </c>
      <c r="BR44" s="134">
        <f>'5.26'!AJ22</f>
        <v>0</v>
      </c>
      <c r="BS44" s="134">
        <f>'5.26'!AK22</f>
        <v>71</v>
      </c>
      <c r="BT44" s="134">
        <f>'5.26'!AL22</f>
        <v>0</v>
      </c>
      <c r="BU44" s="134"/>
    </row>
    <row r="45" spans="2:73" s="131" customFormat="1" ht="30.6" customHeight="1">
      <c r="B45" s="140" t="s">
        <v>84</v>
      </c>
      <c r="C45" s="141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  <c r="Q45" s="507"/>
      <c r="R45" s="508"/>
      <c r="S45" s="512" t="s">
        <v>52</v>
      </c>
      <c r="T45" s="513" t="s">
        <v>67</v>
      </c>
      <c r="U45" s="139" t="s">
        <v>50</v>
      </c>
      <c r="V45" s="187">
        <f>'Data NĂM'!F23</f>
        <v>5</v>
      </c>
      <c r="W45" s="187">
        <f>'Data NĂM'!G23</f>
        <v>1</v>
      </c>
      <c r="X45" s="205">
        <f>'Data NĂM'!H23</f>
        <v>2</v>
      </c>
      <c r="Y45" s="236">
        <f>'Data NĂM'!I23</f>
        <v>0</v>
      </c>
      <c r="Z45" s="236">
        <f>'Data NĂM'!J23</f>
        <v>6</v>
      </c>
      <c r="AA45" s="236">
        <f>'Data NĂM'!K23</f>
        <v>3</v>
      </c>
      <c r="AB45" s="224">
        <f>+'Data NĂM'!BP23</f>
        <v>0</v>
      </c>
      <c r="AC45" s="224">
        <f>+'Data NĂM'!BQ23</f>
        <v>0</v>
      </c>
      <c r="AD45" s="224">
        <f>+'Data NĂM'!BR23</f>
        <v>1</v>
      </c>
      <c r="AE45" s="224">
        <f>+'Data NĂM'!BS23</f>
        <v>0</v>
      </c>
      <c r="AF45" s="224">
        <f>+'Data NĂM'!BT23</f>
        <v>2</v>
      </c>
      <c r="AG45" s="224">
        <f>+'Data NĂM'!BY23</f>
        <v>0</v>
      </c>
      <c r="AH45" s="224">
        <f>+'Data NĂM'!BZ23</f>
        <v>0</v>
      </c>
      <c r="AI45" s="224">
        <f>+'Data NĂM'!CA23</f>
        <v>0</v>
      </c>
      <c r="AJ45" s="224">
        <f>+'Data NĂM'!CB23</f>
        <v>0</v>
      </c>
      <c r="AK45" s="224">
        <f>+'Data NĂM'!CC23</f>
        <v>0</v>
      </c>
      <c r="AL45" s="224">
        <f>+'Data NĂM'!CD23</f>
        <v>0</v>
      </c>
      <c r="AM45" s="224">
        <f>+'Data NĂM'!CE23</f>
        <v>0</v>
      </c>
      <c r="AN45" s="443"/>
      <c r="AO45" s="134">
        <f>'5.26'!G23</f>
        <v>1</v>
      </c>
      <c r="AP45" s="134">
        <f>'5.26'!H23</f>
        <v>0</v>
      </c>
      <c r="AQ45" s="134">
        <f>'5.26'!I23</f>
        <v>0</v>
      </c>
      <c r="AR45" s="134">
        <f>'5.26'!J23</f>
        <v>0</v>
      </c>
      <c r="AS45" s="134">
        <f>'5.26'!K23</f>
        <v>0</v>
      </c>
      <c r="AT45" s="134">
        <f>'5.26'!L23</f>
        <v>0</v>
      </c>
      <c r="AU45" s="134">
        <f>'5.26'!M23</f>
        <v>0</v>
      </c>
      <c r="AV45" s="134">
        <f>'5.26'!N23</f>
        <v>0</v>
      </c>
      <c r="AW45" s="134">
        <f>'5.26'!O23</f>
        <v>0</v>
      </c>
      <c r="AX45" s="134">
        <f>'5.26'!P23</f>
        <v>0</v>
      </c>
      <c r="AY45" s="134">
        <f>'5.26'!Q23</f>
        <v>0</v>
      </c>
      <c r="AZ45" s="134">
        <f>'5.26'!R23</f>
        <v>0</v>
      </c>
      <c r="BA45" s="134">
        <f>'5.26'!S23</f>
        <v>0</v>
      </c>
      <c r="BB45" s="134">
        <f>'5.26'!T23</f>
        <v>1</v>
      </c>
      <c r="BC45" s="134">
        <f>'5.26'!U23</f>
        <v>0</v>
      </c>
      <c r="BD45" s="134">
        <f>'5.26'!V23</f>
        <v>0</v>
      </c>
      <c r="BE45" s="134">
        <f>'5.26'!W23</f>
        <v>0</v>
      </c>
      <c r="BF45" s="134">
        <f>'5.26'!X23</f>
        <v>0</v>
      </c>
      <c r="BG45" s="134">
        <f>'5.26'!Y23</f>
        <v>0</v>
      </c>
      <c r="BH45" s="134">
        <f>'5.26'!Z23</f>
        <v>0</v>
      </c>
      <c r="BI45" s="134">
        <f>'5.26'!AA23</f>
        <v>0</v>
      </c>
      <c r="BJ45" s="134">
        <f>'5.26'!AB23</f>
        <v>0</v>
      </c>
      <c r="BK45" s="134">
        <f>'5.26'!AC23</f>
        <v>0</v>
      </c>
      <c r="BL45" s="134">
        <f>'5.26'!AD23</f>
        <v>0</v>
      </c>
      <c r="BM45" s="134">
        <f>'5.26'!AE23</f>
        <v>0</v>
      </c>
      <c r="BN45" s="134">
        <f>'5.26'!AF23</f>
        <v>0</v>
      </c>
      <c r="BO45" s="134">
        <f>'5.26'!AG23</f>
        <v>0</v>
      </c>
      <c r="BP45" s="134">
        <f>'5.26'!AH23</f>
        <v>0</v>
      </c>
      <c r="BQ45" s="134">
        <f>'5.26'!AI23</f>
        <v>0</v>
      </c>
      <c r="BR45" s="134">
        <f>'5.26'!AJ23</f>
        <v>0</v>
      </c>
      <c r="BS45" s="134">
        <f>'5.26'!AK23</f>
        <v>0</v>
      </c>
      <c r="BT45" s="134">
        <f>'5.26'!AL23</f>
        <v>0</v>
      </c>
      <c r="BU45" s="134"/>
    </row>
    <row r="46" spans="2:73" s="131" customFormat="1" ht="30.6" customHeight="1">
      <c r="B46" s="144" t="s">
        <v>85</v>
      </c>
      <c r="C46" s="145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Q46" s="507"/>
      <c r="R46" s="508"/>
      <c r="S46" s="512"/>
      <c r="T46" s="513"/>
      <c r="U46" s="138" t="s">
        <v>59</v>
      </c>
      <c r="V46" s="187">
        <f>'Data NĂM'!F24</f>
        <v>343.9</v>
      </c>
      <c r="W46" s="187">
        <f>'Data NĂM'!G24</f>
        <v>75</v>
      </c>
      <c r="X46" s="205">
        <f>'Data NĂM'!H24</f>
        <v>30</v>
      </c>
      <c r="Y46" s="236">
        <f>'Data NĂM'!I24</f>
        <v>0</v>
      </c>
      <c r="Z46" s="236">
        <f>'Data NĂM'!J24</f>
        <v>451</v>
      </c>
      <c r="AA46" s="236">
        <f>'Data NĂM'!K24</f>
        <v>120</v>
      </c>
      <c r="AB46" s="224">
        <f>+'Data NĂM'!BP24</f>
        <v>0</v>
      </c>
      <c r="AC46" s="224">
        <f>+'Data NĂM'!BQ24</f>
        <v>0</v>
      </c>
      <c r="AD46" s="224">
        <f>+'Data NĂM'!BR24</f>
        <v>20</v>
      </c>
      <c r="AE46" s="224">
        <f>+'Data NĂM'!BS24</f>
        <v>0</v>
      </c>
      <c r="AF46" s="224">
        <f>+'Data NĂM'!BT24</f>
        <v>100</v>
      </c>
      <c r="AG46" s="224">
        <f>+'Data NĂM'!BY24</f>
        <v>0</v>
      </c>
      <c r="AH46" s="224">
        <f>+'Data NĂM'!BZ24</f>
        <v>0</v>
      </c>
      <c r="AI46" s="224">
        <f>+'Data NĂM'!CA24</f>
        <v>0</v>
      </c>
      <c r="AJ46" s="224">
        <f>+'Data NĂM'!CB24</f>
        <v>0</v>
      </c>
      <c r="AK46" s="224">
        <f>+'Data NĂM'!CC24</f>
        <v>0</v>
      </c>
      <c r="AL46" s="224">
        <f>+'Data NĂM'!CD24</f>
        <v>0</v>
      </c>
      <c r="AM46" s="224">
        <f>+'Data NĂM'!CE24</f>
        <v>0</v>
      </c>
      <c r="AN46" s="443"/>
      <c r="AO46" s="134">
        <f>'5.26'!G24</f>
        <v>20</v>
      </c>
      <c r="AP46" s="134">
        <f>'5.26'!H24</f>
        <v>0</v>
      </c>
      <c r="AQ46" s="134">
        <f>'5.26'!I24</f>
        <v>0</v>
      </c>
      <c r="AR46" s="134">
        <f>'5.26'!J24</f>
        <v>0</v>
      </c>
      <c r="AS46" s="134">
        <f>'5.26'!K24</f>
        <v>0</v>
      </c>
      <c r="AT46" s="134">
        <f>'5.26'!L24</f>
        <v>0</v>
      </c>
      <c r="AU46" s="134">
        <f>'5.26'!M24</f>
        <v>0</v>
      </c>
      <c r="AV46" s="134">
        <f>'5.26'!N24</f>
        <v>0</v>
      </c>
      <c r="AW46" s="134">
        <f>'5.26'!O24</f>
        <v>0</v>
      </c>
      <c r="AX46" s="134">
        <f>'5.26'!P24</f>
        <v>0</v>
      </c>
      <c r="AY46" s="134">
        <f>'5.26'!Q24</f>
        <v>0</v>
      </c>
      <c r="AZ46" s="134">
        <f>'5.26'!R24</f>
        <v>0</v>
      </c>
      <c r="BA46" s="134">
        <f>'5.26'!S24</f>
        <v>0</v>
      </c>
      <c r="BB46" s="134">
        <f>'5.26'!T24</f>
        <v>80</v>
      </c>
      <c r="BC46" s="134">
        <f>'5.26'!U24</f>
        <v>0</v>
      </c>
      <c r="BD46" s="134">
        <f>'5.26'!V24</f>
        <v>0</v>
      </c>
      <c r="BE46" s="134">
        <f>'5.26'!W24</f>
        <v>0</v>
      </c>
      <c r="BF46" s="134">
        <f>'5.26'!X24</f>
        <v>0</v>
      </c>
      <c r="BG46" s="134">
        <f>'5.26'!Y24</f>
        <v>0</v>
      </c>
      <c r="BH46" s="134">
        <f>'5.26'!Z24</f>
        <v>0</v>
      </c>
      <c r="BI46" s="134">
        <f>'5.26'!AA24</f>
        <v>0</v>
      </c>
      <c r="BJ46" s="134">
        <f>'5.26'!AB24</f>
        <v>0</v>
      </c>
      <c r="BK46" s="134">
        <f>'5.26'!AC24</f>
        <v>0</v>
      </c>
      <c r="BL46" s="134">
        <f>'5.26'!AD24</f>
        <v>0</v>
      </c>
      <c r="BM46" s="134">
        <f>'5.26'!AE24</f>
        <v>0</v>
      </c>
      <c r="BN46" s="134">
        <f>'5.26'!AF24</f>
        <v>0</v>
      </c>
      <c r="BO46" s="134">
        <f>'5.26'!AG24</f>
        <v>0</v>
      </c>
      <c r="BP46" s="134">
        <f>'5.26'!AH24</f>
        <v>0</v>
      </c>
      <c r="BQ46" s="134">
        <f>'5.26'!AI24</f>
        <v>0</v>
      </c>
      <c r="BR46" s="134">
        <f>'5.26'!AJ24</f>
        <v>0</v>
      </c>
      <c r="BS46" s="134">
        <f>'5.26'!AK24</f>
        <v>0</v>
      </c>
      <c r="BT46" s="134">
        <f>'5.26'!AL24</f>
        <v>0</v>
      </c>
      <c r="BU46" s="134"/>
    </row>
    <row r="47" spans="2:73" s="148" customFormat="1" ht="30.6" customHeight="1">
      <c r="B47" s="144" t="s">
        <v>86</v>
      </c>
      <c r="C47" s="145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Q47" s="507"/>
      <c r="R47" s="508"/>
      <c r="S47" s="514" t="s">
        <v>54</v>
      </c>
      <c r="T47" s="515" t="s">
        <v>53</v>
      </c>
      <c r="U47" s="139" t="s">
        <v>50</v>
      </c>
      <c r="V47" s="187">
        <f>'Data NĂM'!F25</f>
        <v>8</v>
      </c>
      <c r="W47" s="187">
        <f>'Data NĂM'!G25</f>
        <v>78</v>
      </c>
      <c r="X47" s="205">
        <f>'Data NĂM'!H25</f>
        <v>22</v>
      </c>
      <c r="Y47" s="236">
        <f>'Data NĂM'!I25</f>
        <v>21</v>
      </c>
      <c r="Z47" s="236">
        <f>'Data NĂM'!J25</f>
        <v>206</v>
      </c>
      <c r="AA47" s="236">
        <f>'Data NĂM'!K25</f>
        <v>77</v>
      </c>
      <c r="AB47" s="224">
        <f>+'Data NĂM'!BP25</f>
        <v>12</v>
      </c>
      <c r="AC47" s="224">
        <f>+'Data NĂM'!BQ25</f>
        <v>19</v>
      </c>
      <c r="AD47" s="224">
        <f>+'Data NĂM'!BR25</f>
        <v>13</v>
      </c>
      <c r="AE47" s="224">
        <f>+'Data NĂM'!BS25</f>
        <v>18</v>
      </c>
      <c r="AF47" s="224">
        <f>+'Data NĂM'!BT25</f>
        <v>15</v>
      </c>
      <c r="AG47" s="224">
        <f>+'Data NĂM'!BY25</f>
        <v>0</v>
      </c>
      <c r="AH47" s="224">
        <f>+'Data NĂM'!BZ25</f>
        <v>0</v>
      </c>
      <c r="AI47" s="224">
        <f>+'Data NĂM'!CA25</f>
        <v>0</v>
      </c>
      <c r="AJ47" s="224">
        <f>+'Data NĂM'!CB25</f>
        <v>0</v>
      </c>
      <c r="AK47" s="224">
        <f>+'Data NĂM'!CC25</f>
        <v>0</v>
      </c>
      <c r="AL47" s="224">
        <f>+'Data NĂM'!CD25</f>
        <v>0</v>
      </c>
      <c r="AM47" s="224">
        <f>+'Data NĂM'!CE25</f>
        <v>0</v>
      </c>
      <c r="AN47" s="443"/>
      <c r="AO47" s="134">
        <f>'5.26'!G25</f>
        <v>1</v>
      </c>
      <c r="AP47" s="134">
        <f>'5.26'!H25</f>
        <v>0</v>
      </c>
      <c r="AQ47" s="134">
        <f>'5.26'!I25</f>
        <v>1</v>
      </c>
      <c r="AR47" s="134">
        <f>'5.26'!J25</f>
        <v>1</v>
      </c>
      <c r="AS47" s="134">
        <f>'5.26'!K25</f>
        <v>0</v>
      </c>
      <c r="AT47" s="134">
        <f>'5.26'!L25</f>
        <v>0</v>
      </c>
      <c r="AU47" s="134">
        <f>'5.26'!M25</f>
        <v>0</v>
      </c>
      <c r="AV47" s="134">
        <f>'5.26'!N25</f>
        <v>1</v>
      </c>
      <c r="AW47" s="134">
        <f>'5.26'!O25</f>
        <v>1</v>
      </c>
      <c r="AX47" s="134">
        <f>'5.26'!P25</f>
        <v>1</v>
      </c>
      <c r="AY47" s="134">
        <f>'5.26'!Q25</f>
        <v>1</v>
      </c>
      <c r="AZ47" s="134">
        <f>'5.26'!R25</f>
        <v>1</v>
      </c>
      <c r="BA47" s="134">
        <f>'5.26'!S25</f>
        <v>0</v>
      </c>
      <c r="BB47" s="134">
        <f>'5.26'!T25</f>
        <v>1</v>
      </c>
      <c r="BC47" s="134">
        <f>'5.26'!U25</f>
        <v>0</v>
      </c>
      <c r="BD47" s="134">
        <f>'5.26'!V25</f>
        <v>0</v>
      </c>
      <c r="BE47" s="134">
        <f>'5.26'!W25</f>
        <v>1</v>
      </c>
      <c r="BF47" s="134">
        <f>'5.26'!X25</f>
        <v>0</v>
      </c>
      <c r="BG47" s="134">
        <f>'5.26'!Y25</f>
        <v>0</v>
      </c>
      <c r="BH47" s="134">
        <f>'5.26'!Z25</f>
        <v>0</v>
      </c>
      <c r="BI47" s="134">
        <f>'5.26'!AA25</f>
        <v>1</v>
      </c>
      <c r="BJ47" s="134">
        <f>'5.26'!AB25</f>
        <v>1</v>
      </c>
      <c r="BK47" s="134">
        <f>'5.26'!AC25</f>
        <v>1</v>
      </c>
      <c r="BL47" s="134">
        <f>'5.26'!AD25</f>
        <v>1</v>
      </c>
      <c r="BM47" s="134">
        <f>'5.26'!AE25</f>
        <v>1</v>
      </c>
      <c r="BN47" s="134">
        <f>'5.26'!AF25</f>
        <v>0</v>
      </c>
      <c r="BO47" s="134">
        <f>'5.26'!AG25</f>
        <v>0</v>
      </c>
      <c r="BP47" s="134">
        <f>'5.26'!AH25</f>
        <v>0</v>
      </c>
      <c r="BQ47" s="134">
        <f>'5.26'!AI25</f>
        <v>0</v>
      </c>
      <c r="BR47" s="134">
        <f>'5.26'!AJ25</f>
        <v>0</v>
      </c>
      <c r="BS47" s="134">
        <f>'5.26'!AK25</f>
        <v>0</v>
      </c>
      <c r="BT47" s="134">
        <f>'5.26'!AL25</f>
        <v>0</v>
      </c>
      <c r="BU47" s="134"/>
    </row>
    <row r="48" spans="2:73" s="148" customFormat="1" ht="30.6" customHeight="1">
      <c r="B48" s="144" t="s">
        <v>87</v>
      </c>
      <c r="C48" s="145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Q48" s="507"/>
      <c r="R48" s="508"/>
      <c r="S48" s="514"/>
      <c r="T48" s="515"/>
      <c r="U48" s="138" t="s">
        <v>59</v>
      </c>
      <c r="V48" s="187">
        <f>'Data NĂM'!F26</f>
        <v>162.73333333333335</v>
      </c>
      <c r="W48" s="187">
        <f>'Data NĂM'!G26</f>
        <v>565</v>
      </c>
      <c r="X48" s="205">
        <f>'Data NĂM'!H26</f>
        <v>197</v>
      </c>
      <c r="Y48" s="236">
        <f>'Data NĂM'!I26</f>
        <v>555</v>
      </c>
      <c r="Z48" s="236">
        <f>'Data NĂM'!J26</f>
        <v>4705</v>
      </c>
      <c r="AA48" s="236">
        <f>'Data NĂM'!K26</f>
        <v>1480</v>
      </c>
      <c r="AB48" s="224">
        <f>+'Data NĂM'!BP26</f>
        <v>315</v>
      </c>
      <c r="AC48" s="224">
        <f>+'Data NĂM'!BQ26</f>
        <v>437</v>
      </c>
      <c r="AD48" s="224">
        <f>+'Data NĂM'!BR26</f>
        <v>259</v>
      </c>
      <c r="AE48" s="224">
        <f>+'Data NĂM'!BS26</f>
        <v>212</v>
      </c>
      <c r="AF48" s="224">
        <f>+'Data NĂM'!BT26</f>
        <v>257</v>
      </c>
      <c r="AG48" s="224">
        <f>+'Data NĂM'!BY26</f>
        <v>0</v>
      </c>
      <c r="AH48" s="224">
        <f>+'Data NĂM'!BZ26</f>
        <v>0</v>
      </c>
      <c r="AI48" s="224">
        <f>+'Data NĂM'!CA26</f>
        <v>0</v>
      </c>
      <c r="AJ48" s="224">
        <f>+'Data NĂM'!CB26</f>
        <v>0</v>
      </c>
      <c r="AK48" s="224">
        <f>+'Data NĂM'!CC26</f>
        <v>0</v>
      </c>
      <c r="AL48" s="224">
        <f>+'Data NĂM'!CD26</f>
        <v>0</v>
      </c>
      <c r="AM48" s="224">
        <f>+'Data NĂM'!CE26</f>
        <v>0</v>
      </c>
      <c r="AN48" s="443"/>
      <c r="AO48" s="134">
        <f>'5.26'!G26</f>
        <v>10</v>
      </c>
      <c r="AP48" s="134">
        <f>'5.26'!H26</f>
        <v>0</v>
      </c>
      <c r="AQ48" s="134">
        <f>'5.26'!I26</f>
        <v>21</v>
      </c>
      <c r="AR48" s="134">
        <f>'5.26'!J26</f>
        <v>18</v>
      </c>
      <c r="AS48" s="134">
        <f>'5.26'!K26</f>
        <v>0</v>
      </c>
      <c r="AT48" s="134">
        <f>'5.26'!L26</f>
        <v>0</v>
      </c>
      <c r="AU48" s="134">
        <f>'5.26'!M26</f>
        <v>0</v>
      </c>
      <c r="AV48" s="134">
        <f>'5.26'!N26</f>
        <v>14</v>
      </c>
      <c r="AW48" s="134">
        <f>'5.26'!O26</f>
        <v>16</v>
      </c>
      <c r="AX48" s="134">
        <f>'5.26'!P26</f>
        <v>12</v>
      </c>
      <c r="AY48" s="134">
        <f>'5.26'!Q26</f>
        <v>10</v>
      </c>
      <c r="AZ48" s="134">
        <f>'5.26'!R26</f>
        <v>30</v>
      </c>
      <c r="BA48" s="134">
        <f>'5.26'!S26</f>
        <v>0</v>
      </c>
      <c r="BB48" s="134">
        <f>'5.26'!T26</f>
        <v>25</v>
      </c>
      <c r="BC48" s="134">
        <f>'5.26'!U26</f>
        <v>0</v>
      </c>
      <c r="BD48" s="134">
        <f>'5.26'!V26</f>
        <v>0</v>
      </c>
      <c r="BE48" s="134">
        <f>'5.26'!W26</f>
        <v>17</v>
      </c>
      <c r="BF48" s="134">
        <f>'5.26'!X26</f>
        <v>0</v>
      </c>
      <c r="BG48" s="134">
        <f>'5.26'!Y26</f>
        <v>0</v>
      </c>
      <c r="BH48" s="134">
        <f>'5.26'!Z26</f>
        <v>0</v>
      </c>
      <c r="BI48" s="134">
        <f>'5.26'!AA26</f>
        <v>20</v>
      </c>
      <c r="BJ48" s="134">
        <f>'5.26'!AB26</f>
        <v>18</v>
      </c>
      <c r="BK48" s="134">
        <f>'5.26'!AC26</f>
        <v>20</v>
      </c>
      <c r="BL48" s="134">
        <f>'5.26'!AD26</f>
        <v>14</v>
      </c>
      <c r="BM48" s="134">
        <f>'5.26'!AE26</f>
        <v>12</v>
      </c>
      <c r="BN48" s="134">
        <f>'5.26'!AF26</f>
        <v>0</v>
      </c>
      <c r="BO48" s="134">
        <f>'5.26'!AG26</f>
        <v>0</v>
      </c>
      <c r="BP48" s="134">
        <f>'5.26'!AH26</f>
        <v>0</v>
      </c>
      <c r="BQ48" s="134">
        <f>'5.26'!AI26</f>
        <v>0</v>
      </c>
      <c r="BR48" s="134">
        <f>'5.26'!AJ26</f>
        <v>0</v>
      </c>
      <c r="BS48" s="134">
        <f>'5.26'!AK26</f>
        <v>0</v>
      </c>
      <c r="BT48" s="134">
        <f>'5.26'!AL26</f>
        <v>0</v>
      </c>
      <c r="BU48" s="134"/>
    </row>
    <row r="49" spans="2:73" s="131" customFormat="1" ht="30.6" hidden="1" customHeight="1">
      <c r="B49" s="149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Q49" s="507"/>
      <c r="R49" s="508"/>
      <c r="S49" s="512" t="s">
        <v>57</v>
      </c>
      <c r="T49" s="515" t="s">
        <v>56</v>
      </c>
      <c r="U49" s="139" t="s">
        <v>50</v>
      </c>
      <c r="V49" s="187">
        <f>'Data NĂM'!F27</f>
        <v>0</v>
      </c>
      <c r="W49" s="187">
        <f>'Data NĂM'!G27</f>
        <v>21</v>
      </c>
      <c r="X49" s="205">
        <f>'Data NĂM'!H27</f>
        <v>1</v>
      </c>
      <c r="Y49" s="236">
        <f>'Data NĂM'!I27</f>
        <v>0</v>
      </c>
      <c r="Z49" s="236">
        <f>'Data NĂM'!J27</f>
        <v>4</v>
      </c>
      <c r="AA49" s="236">
        <f>'Data NĂM'!K27</f>
        <v>0</v>
      </c>
      <c r="AB49" s="224">
        <f>+'Data NĂM'!BP27</f>
        <v>0</v>
      </c>
      <c r="AC49" s="224">
        <f>+'Data NĂM'!BQ27</f>
        <v>0</v>
      </c>
      <c r="AD49" s="224">
        <f>+'Data NĂM'!BR27</f>
        <v>0</v>
      </c>
      <c r="AE49" s="224">
        <f>+'Data NĂM'!BS27</f>
        <v>0</v>
      </c>
      <c r="AF49" s="224">
        <f>+'Data NĂM'!BT27</f>
        <v>0</v>
      </c>
      <c r="AG49" s="224">
        <f>+'Data NĂM'!BY27</f>
        <v>0</v>
      </c>
      <c r="AH49" s="224">
        <f>+'Data NĂM'!BZ27</f>
        <v>0</v>
      </c>
      <c r="AI49" s="224">
        <f>+'Data NĂM'!CA27</f>
        <v>0</v>
      </c>
      <c r="AJ49" s="224">
        <f>+'Data NĂM'!CB27</f>
        <v>0</v>
      </c>
      <c r="AK49" s="224">
        <f>+'Data NĂM'!CC27</f>
        <v>0</v>
      </c>
      <c r="AL49" s="224">
        <f>+'Data NĂM'!CD27</f>
        <v>0</v>
      </c>
      <c r="AM49" s="224">
        <f>+'Data NĂM'!CE27</f>
        <v>0</v>
      </c>
      <c r="AN49" s="443"/>
      <c r="AO49" s="134">
        <f>'5.26'!G27</f>
        <v>0</v>
      </c>
      <c r="AP49" s="134">
        <f>'5.26'!H27</f>
        <v>0</v>
      </c>
      <c r="AQ49" s="134">
        <f>'5.26'!I27</f>
        <v>0</v>
      </c>
      <c r="AR49" s="134">
        <f>'5.26'!J27</f>
        <v>0</v>
      </c>
      <c r="AS49" s="134">
        <f>'5.26'!K27</f>
        <v>0</v>
      </c>
      <c r="AT49" s="134">
        <f>'5.26'!L27</f>
        <v>0</v>
      </c>
      <c r="AU49" s="134">
        <f>'5.26'!M27</f>
        <v>0</v>
      </c>
      <c r="AV49" s="134">
        <f>'5.26'!N27</f>
        <v>0</v>
      </c>
      <c r="AW49" s="134">
        <f>'5.26'!O27</f>
        <v>0</v>
      </c>
      <c r="AX49" s="134">
        <f>'5.26'!P27</f>
        <v>0</v>
      </c>
      <c r="AY49" s="134">
        <f>'5.26'!Q27</f>
        <v>0</v>
      </c>
      <c r="AZ49" s="134">
        <f>'5.26'!R27</f>
        <v>0</v>
      </c>
      <c r="BA49" s="134">
        <f>'5.26'!S27</f>
        <v>0</v>
      </c>
      <c r="BB49" s="134">
        <f>'5.26'!T27</f>
        <v>0</v>
      </c>
      <c r="BC49" s="134">
        <f>'5.26'!U27</f>
        <v>0</v>
      </c>
      <c r="BD49" s="134">
        <f>'5.26'!V27</f>
        <v>0</v>
      </c>
      <c r="BE49" s="134">
        <f>'5.26'!W27</f>
        <v>0</v>
      </c>
      <c r="BF49" s="134">
        <f>'5.26'!X27</f>
        <v>0</v>
      </c>
      <c r="BG49" s="134">
        <f>'5.26'!Y27</f>
        <v>0</v>
      </c>
      <c r="BH49" s="134">
        <f>'5.26'!Z27</f>
        <v>0</v>
      </c>
      <c r="BI49" s="134">
        <f>'5.26'!AA27</f>
        <v>0</v>
      </c>
      <c r="BJ49" s="134">
        <f>'5.26'!AB27</f>
        <v>0</v>
      </c>
      <c r="BK49" s="134">
        <f>'5.26'!AC27</f>
        <v>0</v>
      </c>
      <c r="BL49" s="134">
        <f>'5.26'!AD27</f>
        <v>0</v>
      </c>
      <c r="BM49" s="134">
        <f>'5.26'!AE27</f>
        <v>0</v>
      </c>
      <c r="BN49" s="134">
        <f>'5.26'!AF27</f>
        <v>0</v>
      </c>
      <c r="BO49" s="134">
        <f>'5.26'!AG27</f>
        <v>0</v>
      </c>
      <c r="BP49" s="134">
        <f>'5.26'!AH27</f>
        <v>0</v>
      </c>
      <c r="BQ49" s="134">
        <f>'5.26'!AI27</f>
        <v>0</v>
      </c>
      <c r="BR49" s="134">
        <f>'5.26'!AJ27</f>
        <v>0</v>
      </c>
      <c r="BS49" s="134">
        <f>'5.26'!AK27</f>
        <v>0</v>
      </c>
      <c r="BT49" s="134">
        <f>'5.26'!AL27</f>
        <v>0</v>
      </c>
      <c r="BU49" s="134"/>
    </row>
    <row r="50" spans="2:73" ht="30.6" hidden="1" customHeight="1">
      <c r="B50" s="149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Q50" s="507"/>
      <c r="R50" s="508"/>
      <c r="S50" s="512"/>
      <c r="T50" s="515"/>
      <c r="U50" s="138" t="s">
        <v>59</v>
      </c>
      <c r="V50" s="187">
        <f>'Data NĂM'!F28</f>
        <v>0</v>
      </c>
      <c r="W50" s="187">
        <f>'Data NĂM'!G28</f>
        <v>24</v>
      </c>
      <c r="X50" s="205">
        <f>'Data NĂM'!H28</f>
        <v>8</v>
      </c>
      <c r="Y50" s="236">
        <f>'Data NĂM'!I28</f>
        <v>0</v>
      </c>
      <c r="Z50" s="236">
        <f>'Data NĂM'!J28</f>
        <v>86</v>
      </c>
      <c r="AA50" s="236">
        <f>'Data NĂM'!K28</f>
        <v>0</v>
      </c>
      <c r="AB50" s="224">
        <f>+'Data NĂM'!BP28</f>
        <v>0</v>
      </c>
      <c r="AC50" s="224">
        <f>+'Data NĂM'!BQ28</f>
        <v>0</v>
      </c>
      <c r="AD50" s="224">
        <f>+'Data NĂM'!BR28</f>
        <v>0</v>
      </c>
      <c r="AE50" s="224">
        <f>+'Data NĂM'!BS28</f>
        <v>0</v>
      </c>
      <c r="AF50" s="224">
        <f>+'Data NĂM'!BT28</f>
        <v>0</v>
      </c>
      <c r="AG50" s="224">
        <f>+'Data NĂM'!BY28</f>
        <v>0</v>
      </c>
      <c r="AH50" s="224">
        <f>+'Data NĂM'!BZ28</f>
        <v>0</v>
      </c>
      <c r="AI50" s="224">
        <f>+'Data NĂM'!CA28</f>
        <v>0</v>
      </c>
      <c r="AJ50" s="224">
        <f>+'Data NĂM'!CB28</f>
        <v>0</v>
      </c>
      <c r="AK50" s="224">
        <f>+'Data NĂM'!CC28</f>
        <v>0</v>
      </c>
      <c r="AL50" s="224">
        <f>+'Data NĂM'!CD28</f>
        <v>0</v>
      </c>
      <c r="AM50" s="224">
        <f>+'Data NĂM'!CE28</f>
        <v>0</v>
      </c>
      <c r="AN50" s="443"/>
      <c r="AO50" s="134">
        <f>'5.26'!G28</f>
        <v>0</v>
      </c>
      <c r="AP50" s="134">
        <f>'5.26'!H28</f>
        <v>0</v>
      </c>
      <c r="AQ50" s="134">
        <f>'5.26'!I28</f>
        <v>0</v>
      </c>
      <c r="AR50" s="134">
        <f>'5.26'!J28</f>
        <v>0</v>
      </c>
      <c r="AS50" s="134">
        <f>'5.26'!K28</f>
        <v>0</v>
      </c>
      <c r="AT50" s="134">
        <f>'5.26'!L28</f>
        <v>0</v>
      </c>
      <c r="AU50" s="134">
        <f>'5.26'!M28</f>
        <v>0</v>
      </c>
      <c r="AV50" s="134">
        <f>'5.26'!N28</f>
        <v>0</v>
      </c>
      <c r="AW50" s="134">
        <f>'5.26'!O28</f>
        <v>0</v>
      </c>
      <c r="AX50" s="134">
        <f>'5.26'!P28</f>
        <v>0</v>
      </c>
      <c r="AY50" s="134">
        <f>'5.26'!Q28</f>
        <v>0</v>
      </c>
      <c r="AZ50" s="134">
        <f>'5.26'!R28</f>
        <v>0</v>
      </c>
      <c r="BA50" s="134">
        <f>'5.26'!S28</f>
        <v>0</v>
      </c>
      <c r="BB50" s="134">
        <f>'5.26'!T28</f>
        <v>0</v>
      </c>
      <c r="BC50" s="134">
        <f>'5.26'!U28</f>
        <v>0</v>
      </c>
      <c r="BD50" s="134">
        <f>'5.26'!V28</f>
        <v>0</v>
      </c>
      <c r="BE50" s="134">
        <f>'5.26'!W28</f>
        <v>0</v>
      </c>
      <c r="BF50" s="134">
        <f>'5.26'!X28</f>
        <v>0</v>
      </c>
      <c r="BG50" s="134">
        <f>'5.26'!Y28</f>
        <v>0</v>
      </c>
      <c r="BH50" s="134">
        <f>'5.26'!Z28</f>
        <v>0</v>
      </c>
      <c r="BI50" s="134">
        <f>'5.26'!AA28</f>
        <v>0</v>
      </c>
      <c r="BJ50" s="134">
        <f>'5.26'!AB28</f>
        <v>0</v>
      </c>
      <c r="BK50" s="134">
        <f>'5.26'!AC28</f>
        <v>0</v>
      </c>
      <c r="BL50" s="134">
        <f>'5.26'!AD28</f>
        <v>0</v>
      </c>
      <c r="BM50" s="134">
        <f>'5.26'!AE28</f>
        <v>0</v>
      </c>
      <c r="BN50" s="134">
        <f>'5.26'!AF28</f>
        <v>0</v>
      </c>
      <c r="BO50" s="134">
        <f>'5.26'!AG28</f>
        <v>0</v>
      </c>
      <c r="BP50" s="134">
        <f>'5.26'!AH28</f>
        <v>0</v>
      </c>
      <c r="BQ50" s="134">
        <f>'5.26'!AI28</f>
        <v>0</v>
      </c>
      <c r="BR50" s="134">
        <f>'5.26'!AJ28</f>
        <v>0</v>
      </c>
      <c r="BS50" s="134">
        <f>'5.26'!AK28</f>
        <v>0</v>
      </c>
      <c r="BT50" s="134">
        <f>'5.26'!AL28</f>
        <v>0</v>
      </c>
      <c r="BU50" s="134"/>
    </row>
    <row r="51" spans="2:73" ht="30.6" customHeight="1">
      <c r="B51" s="149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Q51" s="507"/>
      <c r="R51" s="508"/>
      <c r="S51" s="512" t="s">
        <v>58</v>
      </c>
      <c r="T51" s="516" t="s">
        <v>75</v>
      </c>
      <c r="U51" s="139" t="s">
        <v>50</v>
      </c>
      <c r="V51" s="187">
        <f>'Data NĂM'!F29</f>
        <v>684</v>
      </c>
      <c r="W51" s="187">
        <f>'Data NĂM'!G29</f>
        <v>653</v>
      </c>
      <c r="X51" s="205">
        <f>'Data NĂM'!H29</f>
        <v>533</v>
      </c>
      <c r="Y51" s="236">
        <f>'Data NĂM'!I29</f>
        <v>563</v>
      </c>
      <c r="Z51" s="236">
        <f>'Data NĂM'!J29</f>
        <v>1019</v>
      </c>
      <c r="AA51" s="236">
        <f>'Data NĂM'!K29</f>
        <v>266</v>
      </c>
      <c r="AB51" s="224">
        <f>+'Data NĂM'!BP29</f>
        <v>79</v>
      </c>
      <c r="AC51" s="224">
        <f>+'Data NĂM'!BQ29</f>
        <v>42</v>
      </c>
      <c r="AD51" s="224">
        <f>+'Data NĂM'!BR29</f>
        <v>34</v>
      </c>
      <c r="AE51" s="224">
        <f>+'Data NĂM'!BS29</f>
        <v>43</v>
      </c>
      <c r="AF51" s="224">
        <f>+'Data NĂM'!BT29</f>
        <v>68</v>
      </c>
      <c r="AG51" s="224">
        <f>+'Data NĂM'!BY29</f>
        <v>0</v>
      </c>
      <c r="AH51" s="224">
        <f>+'Data NĂM'!BZ29</f>
        <v>0</v>
      </c>
      <c r="AI51" s="224">
        <f>+'Data NĂM'!CA29</f>
        <v>0</v>
      </c>
      <c r="AJ51" s="224">
        <f>+'Data NĂM'!CB29</f>
        <v>0</v>
      </c>
      <c r="AK51" s="224">
        <f>+'Data NĂM'!CC29</f>
        <v>0</v>
      </c>
      <c r="AL51" s="224">
        <f>+'Data NĂM'!CD29</f>
        <v>0</v>
      </c>
      <c r="AM51" s="224">
        <f>+'Data NĂM'!CE29</f>
        <v>0</v>
      </c>
      <c r="AN51" s="443"/>
      <c r="AO51" s="134">
        <f>'5.26'!G29</f>
        <v>3</v>
      </c>
      <c r="AP51" s="134">
        <f>'5.26'!H29</f>
        <v>3</v>
      </c>
      <c r="AQ51" s="134">
        <f>'5.26'!I29</f>
        <v>3</v>
      </c>
      <c r="AR51" s="134">
        <f>'5.26'!J29</f>
        <v>2</v>
      </c>
      <c r="AS51" s="134">
        <f>'5.26'!K29</f>
        <v>0</v>
      </c>
      <c r="AT51" s="134">
        <f>'5.26'!L29</f>
        <v>0</v>
      </c>
      <c r="AU51" s="134">
        <f>'5.26'!M29</f>
        <v>0</v>
      </c>
      <c r="AV51" s="134">
        <f>'5.26'!N29</f>
        <v>1</v>
      </c>
      <c r="AW51" s="134">
        <f>'5.26'!O29</f>
        <v>2</v>
      </c>
      <c r="AX51" s="134">
        <f>'5.26'!P29</f>
        <v>1</v>
      </c>
      <c r="AY51" s="134">
        <f>'5.26'!Q29</f>
        <v>2</v>
      </c>
      <c r="AZ51" s="134">
        <f>'5.26'!R29</f>
        <v>3</v>
      </c>
      <c r="BA51" s="134">
        <f>'5.26'!S29</f>
        <v>0</v>
      </c>
      <c r="BB51" s="134">
        <f>'5.26'!T29</f>
        <v>7</v>
      </c>
      <c r="BC51" s="134">
        <f>'5.26'!U29</f>
        <v>5</v>
      </c>
      <c r="BD51" s="134">
        <f>'5.26'!V29</f>
        <v>3</v>
      </c>
      <c r="BE51" s="134">
        <f>'5.26'!W29</f>
        <v>4</v>
      </c>
      <c r="BF51" s="134">
        <f>'5.26'!X29</f>
        <v>5</v>
      </c>
      <c r="BG51" s="134">
        <f>'5.26'!Y29</f>
        <v>4</v>
      </c>
      <c r="BH51" s="134">
        <f>'5.26'!Z29</f>
        <v>3</v>
      </c>
      <c r="BI51" s="134">
        <f>'5.26'!AA29</f>
        <v>2</v>
      </c>
      <c r="BJ51" s="134">
        <f>'5.26'!AB29</f>
        <v>2</v>
      </c>
      <c r="BK51" s="134">
        <f>'5.26'!AC29</f>
        <v>1</v>
      </c>
      <c r="BL51" s="134">
        <f>'5.26'!AD29</f>
        <v>1</v>
      </c>
      <c r="BM51" s="134">
        <f>'5.26'!AE29</f>
        <v>1</v>
      </c>
      <c r="BN51" s="134">
        <f>'5.26'!AF29</f>
        <v>1</v>
      </c>
      <c r="BO51" s="134">
        <f>'5.26'!AG29</f>
        <v>1</v>
      </c>
      <c r="BP51" s="134">
        <f>'5.26'!AH29</f>
        <v>2</v>
      </c>
      <c r="BQ51" s="134">
        <f>'5.26'!AI29</f>
        <v>5</v>
      </c>
      <c r="BR51" s="134">
        <f>'5.26'!AJ29</f>
        <v>0</v>
      </c>
      <c r="BS51" s="134">
        <f>'5.26'!AK29</f>
        <v>1</v>
      </c>
      <c r="BT51" s="134">
        <f>'5.26'!AL29</f>
        <v>0</v>
      </c>
      <c r="BU51" s="134"/>
    </row>
    <row r="52" spans="2:73" ht="30.6" customHeight="1" thickBot="1">
      <c r="B52" s="150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2"/>
      <c r="Q52" s="507"/>
      <c r="R52" s="508"/>
      <c r="S52" s="512"/>
      <c r="T52" s="516"/>
      <c r="U52" s="138" t="s">
        <v>59</v>
      </c>
      <c r="V52" s="191">
        <f>'Data NĂM'!F30</f>
        <v>7537.1091059150403</v>
      </c>
      <c r="W52" s="191">
        <f>'Data NĂM'!G30</f>
        <v>4431.666666666667</v>
      </c>
      <c r="X52" s="207">
        <f>'Data NĂM'!H30</f>
        <v>4258</v>
      </c>
      <c r="Y52" s="238">
        <f>'Data NĂM'!I30</f>
        <v>6561</v>
      </c>
      <c r="Z52" s="238">
        <f>'Data NĂM'!J30</f>
        <v>16821</v>
      </c>
      <c r="AA52" s="238">
        <f>'Data NĂM'!K30</f>
        <v>4061</v>
      </c>
      <c r="AB52" s="224">
        <f>+'Data NĂM'!BP30</f>
        <v>1064</v>
      </c>
      <c r="AC52" s="224">
        <f>+'Data NĂM'!BQ30</f>
        <v>569</v>
      </c>
      <c r="AD52" s="224">
        <f>+'Data NĂM'!BR30</f>
        <v>1010</v>
      </c>
      <c r="AE52" s="224">
        <f>+'Data NĂM'!BS30</f>
        <v>548</v>
      </c>
      <c r="AF52" s="224">
        <f>+'Data NĂM'!BT30</f>
        <v>870</v>
      </c>
      <c r="AG52" s="224">
        <f>+'Data NĂM'!BY30</f>
        <v>0</v>
      </c>
      <c r="AH52" s="224">
        <f>+'Data NĂM'!BZ30</f>
        <v>0</v>
      </c>
      <c r="AI52" s="224">
        <f>+'Data NĂM'!CA30</f>
        <v>0</v>
      </c>
      <c r="AJ52" s="224">
        <f>+'Data NĂM'!CB30</f>
        <v>0</v>
      </c>
      <c r="AK52" s="224">
        <f>+'Data NĂM'!CC30</f>
        <v>0</v>
      </c>
      <c r="AL52" s="224">
        <f>+'Data NĂM'!CD30</f>
        <v>0</v>
      </c>
      <c r="AM52" s="224">
        <f>+'Data NĂM'!CE30</f>
        <v>0</v>
      </c>
      <c r="AN52" s="444"/>
      <c r="AO52" s="134">
        <f>'5.26'!G30</f>
        <v>38</v>
      </c>
      <c r="AP52" s="134">
        <f>'5.26'!H30</f>
        <v>16</v>
      </c>
      <c r="AQ52" s="134">
        <f>'5.26'!I30</f>
        <v>71</v>
      </c>
      <c r="AR52" s="134">
        <f>'5.26'!J30</f>
        <v>38</v>
      </c>
      <c r="AS52" s="134">
        <f>'5.26'!K30</f>
        <v>0</v>
      </c>
      <c r="AT52" s="134">
        <f>'5.26'!L30</f>
        <v>0</v>
      </c>
      <c r="AU52" s="134">
        <f>'5.26'!M30</f>
        <v>0</v>
      </c>
      <c r="AV52" s="134">
        <f>'5.26'!N30</f>
        <v>14</v>
      </c>
      <c r="AW52" s="134">
        <f>'5.26'!O30</f>
        <v>21</v>
      </c>
      <c r="AX52" s="134">
        <f>'5.26'!P30</f>
        <v>12</v>
      </c>
      <c r="AY52" s="134">
        <f>'5.26'!Q30</f>
        <v>64</v>
      </c>
      <c r="AZ52" s="134">
        <f>'5.26'!R30</f>
        <v>46</v>
      </c>
      <c r="BA52" s="134">
        <f>'5.26'!S30</f>
        <v>0</v>
      </c>
      <c r="BB52" s="134">
        <f>'5.26'!T30</f>
        <v>120</v>
      </c>
      <c r="BC52" s="134">
        <f>'5.26'!U30</f>
        <v>18</v>
      </c>
      <c r="BD52" s="134">
        <f>'5.26'!V30</f>
        <v>14</v>
      </c>
      <c r="BE52" s="134">
        <f>'5.26'!W30</f>
        <v>37</v>
      </c>
      <c r="BF52" s="134">
        <f>'5.26'!X30</f>
        <v>27</v>
      </c>
      <c r="BG52" s="134">
        <f>'5.26'!Y30</f>
        <v>6</v>
      </c>
      <c r="BH52" s="134">
        <f>'5.26'!Z30</f>
        <v>5</v>
      </c>
      <c r="BI52" s="134">
        <f>'5.26'!AA30</f>
        <v>25</v>
      </c>
      <c r="BJ52" s="134">
        <f>'5.26'!AB30</f>
        <v>73</v>
      </c>
      <c r="BK52" s="134">
        <f>'5.26'!AC30</f>
        <v>20</v>
      </c>
      <c r="BL52" s="134">
        <f>'5.26'!AD30</f>
        <v>14</v>
      </c>
      <c r="BM52" s="134">
        <f>'5.26'!AE30</f>
        <v>12</v>
      </c>
      <c r="BN52" s="134">
        <f>'5.26'!AF30</f>
        <v>43</v>
      </c>
      <c r="BO52" s="134">
        <f>'5.26'!AG30</f>
        <v>19</v>
      </c>
      <c r="BP52" s="134">
        <f>'5.26'!AH30</f>
        <v>14</v>
      </c>
      <c r="BQ52" s="134">
        <f>'5.26'!AI30</f>
        <v>32</v>
      </c>
      <c r="BR52" s="134">
        <f>'5.26'!AJ30</f>
        <v>0</v>
      </c>
      <c r="BS52" s="134">
        <f>'5.26'!AK30</f>
        <v>71</v>
      </c>
      <c r="BT52" s="134">
        <f>'5.26'!AL30</f>
        <v>0</v>
      </c>
      <c r="BU52" s="134"/>
    </row>
    <row r="53" spans="2:73" ht="5.4" customHeight="1">
      <c r="Q53" s="38"/>
      <c r="R53" s="39"/>
      <c r="S53" s="40"/>
      <c r="T53" s="40"/>
      <c r="U53" s="40"/>
      <c r="V53" s="40"/>
      <c r="W53" s="40"/>
      <c r="X53" s="40"/>
      <c r="Y53" s="40"/>
      <c r="Z53" s="40"/>
      <c r="AA53" s="40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2"/>
    </row>
    <row r="54" spans="2:73" ht="13.8" customHeight="1">
      <c r="B54" s="477" t="s">
        <v>71</v>
      </c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Q54" s="481" t="s">
        <v>64</v>
      </c>
      <c r="R54" s="482"/>
      <c r="S54" s="482"/>
      <c r="T54" s="482"/>
      <c r="U54" s="483"/>
      <c r="V54" s="153"/>
      <c r="W54" s="154"/>
      <c r="X54" s="154"/>
      <c r="Y54" s="154"/>
      <c r="Z54" s="154"/>
      <c r="AA54" s="154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155"/>
    </row>
    <row r="55" spans="2:73" ht="13.8" customHeight="1" thickBot="1">
      <c r="B55" s="477"/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Q55" s="484"/>
      <c r="R55" s="485"/>
      <c r="S55" s="485"/>
      <c r="T55" s="485"/>
      <c r="U55" s="486"/>
      <c r="V55" s="156"/>
      <c r="W55" s="40"/>
      <c r="X55" s="40"/>
      <c r="Y55" s="40"/>
      <c r="Z55" s="40"/>
      <c r="AA55" s="40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157"/>
    </row>
    <row r="56" spans="2:73" ht="13.8" customHeight="1" thickBot="1">
      <c r="B56" s="158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60"/>
      <c r="Q56" s="484"/>
      <c r="R56" s="485"/>
      <c r="S56" s="485"/>
      <c r="T56" s="485"/>
      <c r="U56" s="486"/>
      <c r="V56" s="156"/>
      <c r="W56" s="40"/>
      <c r="X56" s="40"/>
      <c r="Y56" s="40"/>
      <c r="Z56" s="40"/>
      <c r="AA56" s="40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157"/>
    </row>
    <row r="57" spans="2:73" ht="13.8" customHeight="1">
      <c r="B57" s="460" t="s">
        <v>83</v>
      </c>
      <c r="C57" s="461"/>
      <c r="D57" s="461"/>
      <c r="E57" s="461"/>
      <c r="F57" s="461"/>
      <c r="G57" s="461"/>
      <c r="H57" s="461"/>
      <c r="I57" s="461"/>
      <c r="J57" s="461"/>
      <c r="K57" s="461"/>
      <c r="L57" s="461"/>
      <c r="M57" s="461"/>
      <c r="N57" s="462"/>
      <c r="Q57" s="487"/>
      <c r="R57" s="488"/>
      <c r="S57" s="488"/>
      <c r="T57" s="488"/>
      <c r="U57" s="489"/>
      <c r="V57" s="161"/>
      <c r="W57" s="162"/>
      <c r="X57" s="162"/>
      <c r="Y57" s="162"/>
      <c r="Z57" s="162"/>
      <c r="AA57" s="162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57"/>
    </row>
    <row r="58" spans="2:73" ht="6.6" customHeight="1">
      <c r="B58" s="463"/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5"/>
      <c r="Q58" s="38"/>
      <c r="R58" s="39"/>
      <c r="S58" s="40"/>
      <c r="T58" s="40"/>
      <c r="U58" s="40"/>
      <c r="V58" s="40"/>
      <c r="W58" s="40"/>
      <c r="X58" s="40"/>
      <c r="Y58" s="40"/>
      <c r="Z58" s="40"/>
      <c r="AA58" s="40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157"/>
    </row>
    <row r="59" spans="2:73" ht="35.4" customHeight="1">
      <c r="B59" s="463"/>
      <c r="C59" s="464"/>
      <c r="D59" s="464"/>
      <c r="E59" s="464"/>
      <c r="F59" s="464"/>
      <c r="G59" s="464"/>
      <c r="H59" s="464"/>
      <c r="I59" s="464"/>
      <c r="J59" s="464"/>
      <c r="K59" s="464"/>
      <c r="L59" s="464"/>
      <c r="M59" s="464"/>
      <c r="N59" s="465"/>
      <c r="Q59" s="498" t="s">
        <v>65</v>
      </c>
      <c r="R59" s="499"/>
      <c r="S59" s="499"/>
      <c r="T59" s="499"/>
      <c r="U59" s="500"/>
      <c r="V59" s="452" t="s">
        <v>117</v>
      </c>
      <c r="W59" s="453"/>
      <c r="X59" s="453"/>
      <c r="Y59" s="453"/>
      <c r="Z59" s="453"/>
      <c r="AA59" s="453"/>
      <c r="AB59" s="453"/>
      <c r="AC59" s="453"/>
      <c r="AD59" s="453"/>
      <c r="AE59" s="453"/>
      <c r="AF59" s="453"/>
      <c r="AG59" s="453"/>
      <c r="AH59" s="453"/>
      <c r="AI59" s="453"/>
      <c r="AJ59" s="453"/>
      <c r="AK59" s="453"/>
      <c r="AL59" s="453"/>
      <c r="AM59" s="453"/>
      <c r="AN59" s="453"/>
      <c r="AO59" s="453"/>
      <c r="AP59" s="453"/>
      <c r="AQ59" s="453"/>
      <c r="AR59" s="453"/>
      <c r="AS59" s="453"/>
      <c r="AT59" s="453"/>
      <c r="AU59" s="453"/>
      <c r="AV59" s="453"/>
      <c r="AW59" s="453"/>
      <c r="AX59" s="453"/>
      <c r="AY59" s="453"/>
      <c r="AZ59" s="453"/>
      <c r="BA59" s="453"/>
      <c r="BB59" s="453"/>
      <c r="BC59" s="453"/>
      <c r="BD59" s="453"/>
      <c r="BE59" s="453"/>
      <c r="BF59" s="453"/>
      <c r="BG59" s="453"/>
      <c r="BH59" s="453"/>
      <c r="BI59" s="453"/>
      <c r="BJ59" s="453"/>
      <c r="BK59" s="453"/>
      <c r="BL59" s="453"/>
      <c r="BM59" s="453"/>
      <c r="BN59" s="453"/>
      <c r="BO59" s="453"/>
      <c r="BP59" s="453"/>
      <c r="BQ59" s="449"/>
      <c r="BR59" s="449"/>
      <c r="BS59" s="449"/>
      <c r="BT59" s="449"/>
      <c r="BU59" s="157"/>
    </row>
    <row r="60" spans="2:73" ht="35.4" customHeight="1">
      <c r="B60" s="463"/>
      <c r="C60" s="464"/>
      <c r="D60" s="464"/>
      <c r="E60" s="464"/>
      <c r="F60" s="464"/>
      <c r="G60" s="464"/>
      <c r="H60" s="464"/>
      <c r="I60" s="464"/>
      <c r="J60" s="464"/>
      <c r="K60" s="464"/>
      <c r="L60" s="464"/>
      <c r="M60" s="464"/>
      <c r="N60" s="465"/>
      <c r="Q60" s="501"/>
      <c r="R60" s="502"/>
      <c r="S60" s="502"/>
      <c r="T60" s="502"/>
      <c r="U60" s="503"/>
      <c r="V60" s="454" t="s">
        <v>76</v>
      </c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455"/>
      <c r="AQ60" s="455"/>
      <c r="AR60" s="455"/>
      <c r="AS60" s="455"/>
      <c r="AT60" s="455"/>
      <c r="AU60" s="455"/>
      <c r="AV60" s="455"/>
      <c r="AW60" s="455"/>
      <c r="AX60" s="455"/>
      <c r="AY60" s="455"/>
      <c r="AZ60" s="455"/>
      <c r="BA60" s="455"/>
      <c r="BB60" s="455"/>
      <c r="BC60" s="455"/>
      <c r="BD60" s="455"/>
      <c r="BE60" s="455"/>
      <c r="BF60" s="455"/>
      <c r="BG60" s="455"/>
      <c r="BH60" s="455"/>
      <c r="BI60" s="455"/>
      <c r="BJ60" s="455"/>
      <c r="BK60" s="455"/>
      <c r="BL60" s="455"/>
      <c r="BM60" s="455"/>
      <c r="BN60" s="455"/>
      <c r="BO60" s="455"/>
      <c r="BP60" s="455"/>
      <c r="BQ60" s="450"/>
      <c r="BR60" s="450"/>
      <c r="BS60" s="450"/>
      <c r="BT60" s="450"/>
      <c r="BU60" s="157"/>
    </row>
    <row r="61" spans="2:73" ht="35.4" customHeight="1">
      <c r="B61" s="463"/>
      <c r="C61" s="464"/>
      <c r="D61" s="464"/>
      <c r="E61" s="464"/>
      <c r="F61" s="464"/>
      <c r="G61" s="464"/>
      <c r="H61" s="464"/>
      <c r="I61" s="464"/>
      <c r="J61" s="464"/>
      <c r="K61" s="464"/>
      <c r="L61" s="464"/>
      <c r="M61" s="464"/>
      <c r="N61" s="465"/>
      <c r="Q61" s="501"/>
      <c r="R61" s="502"/>
      <c r="S61" s="502"/>
      <c r="T61" s="502"/>
      <c r="U61" s="503"/>
      <c r="V61" s="454" t="s">
        <v>80</v>
      </c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55"/>
      <c r="AH61" s="455"/>
      <c r="AI61" s="455"/>
      <c r="AJ61" s="455"/>
      <c r="AK61" s="455"/>
      <c r="AL61" s="455"/>
      <c r="AM61" s="455"/>
      <c r="AN61" s="455"/>
      <c r="AO61" s="455"/>
      <c r="AP61" s="455"/>
      <c r="AQ61" s="455"/>
      <c r="AR61" s="455"/>
      <c r="AS61" s="455"/>
      <c r="AT61" s="455"/>
      <c r="AU61" s="455"/>
      <c r="AV61" s="455"/>
      <c r="AW61" s="455"/>
      <c r="AX61" s="455"/>
      <c r="AY61" s="455"/>
      <c r="AZ61" s="455"/>
      <c r="BA61" s="455"/>
      <c r="BB61" s="455"/>
      <c r="BC61" s="455"/>
      <c r="BD61" s="455"/>
      <c r="BE61" s="455"/>
      <c r="BF61" s="455"/>
      <c r="BG61" s="455"/>
      <c r="BH61" s="455"/>
      <c r="BI61" s="455"/>
      <c r="BJ61" s="455"/>
      <c r="BK61" s="455"/>
      <c r="BL61" s="455"/>
      <c r="BM61" s="455"/>
      <c r="BN61" s="455"/>
      <c r="BO61" s="455"/>
      <c r="BP61" s="455"/>
      <c r="BQ61" s="450"/>
      <c r="BR61" s="450"/>
      <c r="BS61" s="450"/>
      <c r="BT61" s="450"/>
      <c r="BU61" s="157"/>
    </row>
    <row r="62" spans="2:73" ht="35.4" customHeight="1">
      <c r="B62" s="463"/>
      <c r="C62" s="464"/>
      <c r="D62" s="464"/>
      <c r="E62" s="464"/>
      <c r="F62" s="464"/>
      <c r="G62" s="464"/>
      <c r="H62" s="464"/>
      <c r="I62" s="464"/>
      <c r="J62" s="464"/>
      <c r="K62" s="464"/>
      <c r="L62" s="464"/>
      <c r="M62" s="464"/>
      <c r="N62" s="465"/>
      <c r="Q62" s="501"/>
      <c r="R62" s="502"/>
      <c r="S62" s="502"/>
      <c r="T62" s="502"/>
      <c r="U62" s="503"/>
      <c r="V62" s="454" t="s">
        <v>81</v>
      </c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455"/>
      <c r="AQ62" s="455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5"/>
      <c r="BC62" s="455"/>
      <c r="BD62" s="455"/>
      <c r="BE62" s="455"/>
      <c r="BF62" s="455"/>
      <c r="BG62" s="455"/>
      <c r="BH62" s="455"/>
      <c r="BI62" s="455"/>
      <c r="BJ62" s="455"/>
      <c r="BK62" s="455"/>
      <c r="BL62" s="455"/>
      <c r="BM62" s="455"/>
      <c r="BN62" s="455"/>
      <c r="BO62" s="455"/>
      <c r="BP62" s="455"/>
      <c r="BQ62" s="450"/>
      <c r="BR62" s="450"/>
      <c r="BS62" s="450"/>
      <c r="BT62" s="450"/>
      <c r="BU62" s="157"/>
    </row>
    <row r="63" spans="2:73" ht="35.4" customHeight="1" thickBot="1">
      <c r="B63" s="466"/>
      <c r="C63" s="467"/>
      <c r="D63" s="467"/>
      <c r="E63" s="467"/>
      <c r="F63" s="467"/>
      <c r="G63" s="467"/>
      <c r="H63" s="467"/>
      <c r="I63" s="467"/>
      <c r="J63" s="467"/>
      <c r="K63" s="467"/>
      <c r="L63" s="467"/>
      <c r="M63" s="467"/>
      <c r="N63" s="468"/>
      <c r="Q63" s="504"/>
      <c r="R63" s="505"/>
      <c r="S63" s="505"/>
      <c r="T63" s="505"/>
      <c r="U63" s="506"/>
      <c r="V63" s="456" t="s">
        <v>82</v>
      </c>
      <c r="W63" s="457"/>
      <c r="X63" s="457"/>
      <c r="Y63" s="457"/>
      <c r="Z63" s="457"/>
      <c r="AA63" s="457"/>
      <c r="AB63" s="457"/>
      <c r="AC63" s="457"/>
      <c r="AD63" s="457"/>
      <c r="AE63" s="457"/>
      <c r="AF63" s="457"/>
      <c r="AG63" s="457"/>
      <c r="AH63" s="457"/>
      <c r="AI63" s="457"/>
      <c r="AJ63" s="457"/>
      <c r="AK63" s="457"/>
      <c r="AL63" s="457"/>
      <c r="AM63" s="457"/>
      <c r="AN63" s="457"/>
      <c r="AO63" s="457"/>
      <c r="AP63" s="457"/>
      <c r="AQ63" s="457"/>
      <c r="AR63" s="457"/>
      <c r="AS63" s="457"/>
      <c r="AT63" s="457"/>
      <c r="AU63" s="457"/>
      <c r="AV63" s="457"/>
      <c r="AW63" s="457"/>
      <c r="AX63" s="457"/>
      <c r="AY63" s="457"/>
      <c r="AZ63" s="457"/>
      <c r="BA63" s="457"/>
      <c r="BB63" s="457"/>
      <c r="BC63" s="457"/>
      <c r="BD63" s="457"/>
      <c r="BE63" s="457"/>
      <c r="BF63" s="457"/>
      <c r="BG63" s="457"/>
      <c r="BH63" s="457"/>
      <c r="BI63" s="457"/>
      <c r="BJ63" s="457"/>
      <c r="BK63" s="457"/>
      <c r="BL63" s="457"/>
      <c r="BM63" s="457"/>
      <c r="BN63" s="457"/>
      <c r="BO63" s="457"/>
      <c r="BP63" s="457"/>
      <c r="BQ63" s="451"/>
      <c r="BR63" s="451"/>
      <c r="BS63" s="451"/>
      <c r="BT63" s="451"/>
      <c r="BU63" s="164"/>
    </row>
    <row r="64" spans="2:73" ht="24.6" customHeight="1"/>
    <row r="65" spans="57:57" ht="24.6" customHeight="1"/>
    <row r="66" spans="57:57" ht="24.6" customHeight="1"/>
    <row r="67" spans="57:57" ht="24.6" customHeight="1"/>
    <row r="68" spans="57:57" ht="24.6" customHeight="1">
      <c r="BE68" s="31" t="s">
        <v>119</v>
      </c>
    </row>
    <row r="69" spans="57:57" ht="24.6" customHeight="1"/>
    <row r="70" spans="57:57" ht="24.6" customHeight="1"/>
    <row r="71" spans="57:57" ht="24.6" customHeight="1"/>
    <row r="72" spans="57:57" ht="24.6" customHeight="1"/>
    <row r="73" spans="57:57" ht="24.6" customHeight="1"/>
    <row r="74" spans="57:57" ht="24.6" customHeight="1"/>
  </sheetData>
  <mergeCells count="59">
    <mergeCell ref="AB1:BU2"/>
    <mergeCell ref="AO6:BU6"/>
    <mergeCell ref="R33:R36"/>
    <mergeCell ref="S33:S36"/>
    <mergeCell ref="R29:R32"/>
    <mergeCell ref="S29:S32"/>
    <mergeCell ref="R25:S27"/>
    <mergeCell ref="R16:R22"/>
    <mergeCell ref="S18:S21"/>
    <mergeCell ref="S22:T22"/>
    <mergeCell ref="Q1:T1"/>
    <mergeCell ref="S10:T10"/>
    <mergeCell ref="S11:T11"/>
    <mergeCell ref="Q2:R2"/>
    <mergeCell ref="S2:T2"/>
    <mergeCell ref="AB7:AM7"/>
    <mergeCell ref="Q59:U63"/>
    <mergeCell ref="Q41:Q52"/>
    <mergeCell ref="R41:R52"/>
    <mergeCell ref="S41:S44"/>
    <mergeCell ref="T41:T42"/>
    <mergeCell ref="T43:T44"/>
    <mergeCell ref="S45:S46"/>
    <mergeCell ref="T45:T46"/>
    <mergeCell ref="S47:S48"/>
    <mergeCell ref="T47:T48"/>
    <mergeCell ref="S49:S50"/>
    <mergeCell ref="T49:T50"/>
    <mergeCell ref="T51:T52"/>
    <mergeCell ref="S51:S52"/>
    <mergeCell ref="B57:N63"/>
    <mergeCell ref="B6:N6"/>
    <mergeCell ref="R23:S24"/>
    <mergeCell ref="Q7:U8"/>
    <mergeCell ref="B17:N18"/>
    <mergeCell ref="B54:N55"/>
    <mergeCell ref="S14:T14"/>
    <mergeCell ref="B43:J44"/>
    <mergeCell ref="Q54:U57"/>
    <mergeCell ref="R37:R40"/>
    <mergeCell ref="S37:S40"/>
    <mergeCell ref="Q9:Q40"/>
    <mergeCell ref="R9:R12"/>
    <mergeCell ref="S12:T12"/>
    <mergeCell ref="R13:R15"/>
    <mergeCell ref="S15:T15"/>
    <mergeCell ref="AN39:AN52"/>
    <mergeCell ref="V7:V8"/>
    <mergeCell ref="X7:X8"/>
    <mergeCell ref="W7:W8"/>
    <mergeCell ref="BQ59:BT63"/>
    <mergeCell ref="V59:BP59"/>
    <mergeCell ref="V60:BP60"/>
    <mergeCell ref="V61:BP61"/>
    <mergeCell ref="V62:BP62"/>
    <mergeCell ref="V63:BP63"/>
    <mergeCell ref="Y7:Y8"/>
    <mergeCell ref="AA7:AA8"/>
    <mergeCell ref="Z7:Z8"/>
  </mergeCells>
  <phoneticPr fontId="9" type="noConversion"/>
  <conditionalFormatting sqref="V12:BU12 AN14 V15:AM15 AO15:BT15">
    <cfRule type="containsText" dxfId="1" priority="8" operator="containsText" text="X">
      <formula>NOT(ISERROR(SEARCH("X",V12)))</formula>
    </cfRule>
  </conditionalFormatting>
  <pageMargins left="0.19685039370078741" right="0.19685039370078741" top="0" bottom="0" header="0" footer="0"/>
  <pageSetup paperSize="9" scale="23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3BECFC14-9107-4BD3-BEC5-C10B6C9BCD23}">
            <xm:f>NOT(ISERROR(SEARCH($V$12,V12)))</xm:f>
            <xm:f>$V$12</xm:f>
            <x14:dxf>
              <font>
                <color auto="1"/>
              </font>
            </x14:dxf>
          </x14:cfRule>
          <x14:cfRule type="containsText" priority="9" operator="containsText" id="{FF28B30D-B754-4112-BC70-AF19C892C0DF}">
            <xm:f>NOT(ISERROR(SEARCH($W$12,V12)))</xm:f>
            <xm:f>$W$12</xm:f>
            <x14:dxf>
              <font>
                <color rgb="FF0000FF"/>
              </font>
            </x14:dxf>
          </x14:cfRule>
          <xm:sqref>V12:BU12 AN14 V15:AM15 AO15:BT15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4"/>
  <sheetViews>
    <sheetView showGridLines="0" zoomScale="115" zoomScaleNormal="115" workbookViewId="0">
      <selection activeCell="K7" sqref="K7"/>
    </sheetView>
  </sheetViews>
  <sheetFormatPr defaultRowHeight="13.8"/>
  <cols>
    <col min="1" max="3" width="9.44140625" style="278" customWidth="1"/>
    <col min="4" max="4" width="28.21875" style="278" customWidth="1"/>
    <col min="5" max="11" width="10.6640625" style="278" customWidth="1"/>
    <col min="12" max="13" width="12.77734375" style="278" hidden="1" customWidth="1"/>
    <col min="14" max="14" width="10.109375" style="278" customWidth="1"/>
    <col min="15" max="15" width="12.6640625" style="278" customWidth="1"/>
    <col min="16" max="16384" width="8.88671875" style="278"/>
  </cols>
  <sheetData>
    <row r="1" spans="1:14" s="273" customFormat="1" ht="49.2" customHeight="1">
      <c r="A1" s="264" t="s">
        <v>111</v>
      </c>
      <c r="B1" s="265" t="s">
        <v>1</v>
      </c>
      <c r="C1" s="266" t="s">
        <v>112</v>
      </c>
      <c r="D1" s="267" t="s">
        <v>116</v>
      </c>
      <c r="E1" s="268" t="s">
        <v>148</v>
      </c>
      <c r="F1" s="265" t="s">
        <v>113</v>
      </c>
      <c r="G1" s="265" t="s">
        <v>122</v>
      </c>
      <c r="H1" s="265" t="s">
        <v>124</v>
      </c>
      <c r="I1" s="265" t="s">
        <v>120</v>
      </c>
      <c r="J1" s="269" t="s">
        <v>114</v>
      </c>
      <c r="K1" s="265" t="s">
        <v>121</v>
      </c>
      <c r="L1" s="270" t="s">
        <v>146</v>
      </c>
      <c r="M1" s="271" t="s">
        <v>123</v>
      </c>
      <c r="N1" s="272" t="s">
        <v>115</v>
      </c>
    </row>
    <row r="2" spans="1:14" ht="72.599999999999994" customHeight="1">
      <c r="A2" s="274" t="s">
        <v>94</v>
      </c>
      <c r="B2" s="265">
        <v>29</v>
      </c>
      <c r="C2" s="275">
        <f>'5.26'!AI14</f>
        <v>447.71800000000002</v>
      </c>
      <c r="D2" s="307" t="s">
        <v>147</v>
      </c>
      <c r="E2" s="268">
        <f>+J2/'5.26'!F4</f>
        <v>437.30900000000014</v>
      </c>
      <c r="F2" s="265">
        <v>31</v>
      </c>
      <c r="G2" s="396">
        <v>0</v>
      </c>
      <c r="H2" s="265">
        <f>+F2-B2-G2</f>
        <v>2</v>
      </c>
      <c r="I2" s="265">
        <v>14000</v>
      </c>
      <c r="J2" s="276">
        <f>+'5.26'!F14</f>
        <v>13119.270000000004</v>
      </c>
      <c r="K2" s="265">
        <f>+I2-J2</f>
        <v>880.72999999999593</v>
      </c>
      <c r="L2" s="277">
        <f>+J2+H2*480</f>
        <v>14079.270000000004</v>
      </c>
      <c r="M2" s="285">
        <f>+K2/H2</f>
        <v>440.36499999999796</v>
      </c>
      <c r="N2" s="287">
        <f>J2/I2*100%</f>
        <v>0.93709071428571455</v>
      </c>
    </row>
    <row r="3" spans="1:14" ht="20.399999999999999" customHeight="1">
      <c r="C3" s="309"/>
      <c r="J3" s="279"/>
      <c r="L3" s="312"/>
    </row>
    <row r="4" spans="1:14" ht="20.399999999999999" customHeight="1">
      <c r="C4" s="309"/>
      <c r="J4" s="302"/>
      <c r="L4" s="312"/>
      <c r="M4" s="302"/>
    </row>
    <row r="5" spans="1:14" ht="20.399999999999999" customHeight="1">
      <c r="F5" s="278" t="s">
        <v>137</v>
      </c>
      <c r="G5" s="304">
        <f>46/24</f>
        <v>1.9166666666666667</v>
      </c>
      <c r="H5" s="381"/>
      <c r="I5" s="289"/>
      <c r="J5" s="302">
        <f>I2-'5.26'!F10</f>
        <v>0</v>
      </c>
      <c r="K5" s="312"/>
      <c r="L5" s="312"/>
      <c r="M5" s="302"/>
    </row>
    <row r="6" spans="1:14" ht="20.399999999999999" customHeight="1">
      <c r="D6" s="311"/>
      <c r="E6" s="286"/>
      <c r="F6" s="278" t="s">
        <v>138</v>
      </c>
      <c r="G6" s="305">
        <f>170+27+70+95+200+35+60+1440+300+80+190+33</f>
        <v>2700</v>
      </c>
      <c r="H6" s="381"/>
      <c r="J6" s="302">
        <f>+J5/H2</f>
        <v>0</v>
      </c>
      <c r="L6" s="312"/>
    </row>
    <row r="7" spans="1:14" ht="20.399999999999999" customHeight="1">
      <c r="G7" s="303">
        <f>+G6/60/24</f>
        <v>1.875</v>
      </c>
      <c r="H7" s="289"/>
      <c r="I7" s="302"/>
      <c r="J7" s="309"/>
      <c r="K7" s="309"/>
      <c r="L7" s="309"/>
      <c r="M7" s="309"/>
      <c r="N7" s="310"/>
    </row>
    <row r="8" spans="1:14" ht="20.399999999999999" customHeight="1">
      <c r="E8" s="302"/>
      <c r="G8" s="304"/>
      <c r="I8" s="302"/>
      <c r="J8" s="309"/>
      <c r="K8" s="309"/>
      <c r="L8" s="309"/>
      <c r="M8" s="309"/>
      <c r="N8" s="310"/>
    </row>
    <row r="9" spans="1:14" ht="20.399999999999999" customHeight="1">
      <c r="J9" s="312"/>
      <c r="K9" s="309"/>
      <c r="L9" s="309"/>
      <c r="M9" s="309"/>
      <c r="N9" s="310"/>
    </row>
    <row r="10" spans="1:14" ht="19.2" customHeight="1">
      <c r="J10" s="309"/>
      <c r="K10" s="309"/>
      <c r="L10" s="309"/>
      <c r="M10" s="309"/>
      <c r="N10" s="310"/>
    </row>
    <row r="11" spans="1:14" ht="19.2" customHeight="1">
      <c r="J11" s="306"/>
    </row>
    <row r="12" spans="1:14" ht="19.2" customHeight="1"/>
    <row r="13" spans="1:14" ht="19.2" customHeight="1"/>
    <row r="14" spans="1:14" ht="19.2" customHeight="1"/>
  </sheetData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9"/>
  <sheetViews>
    <sheetView workbookViewId="0">
      <selection activeCell="AH3" sqref="AH3:AJ9"/>
    </sheetView>
  </sheetViews>
  <sheetFormatPr defaultRowHeight="13.8"/>
  <cols>
    <col min="1" max="1" width="12" style="314" customWidth="1"/>
    <col min="2" max="2" width="7.77734375" style="314" customWidth="1"/>
    <col min="3" max="5" width="7" style="314" customWidth="1"/>
    <col min="6" max="15" width="7" style="314" hidden="1" customWidth="1"/>
    <col min="16" max="33" width="7" style="314" customWidth="1"/>
    <col min="34" max="16384" width="8.88671875" style="314"/>
  </cols>
  <sheetData>
    <row r="1" spans="1:35" ht="25.2" customHeight="1">
      <c r="A1" s="317" t="s">
        <v>1</v>
      </c>
      <c r="B1" s="317" t="s">
        <v>75</v>
      </c>
      <c r="C1" s="317">
        <v>1</v>
      </c>
      <c r="D1" s="317">
        <v>2</v>
      </c>
      <c r="E1" s="317">
        <v>3</v>
      </c>
      <c r="F1" s="317">
        <v>4</v>
      </c>
      <c r="G1" s="317">
        <v>5</v>
      </c>
      <c r="H1" s="317">
        <v>6</v>
      </c>
      <c r="I1" s="317">
        <v>7</v>
      </c>
      <c r="J1" s="317">
        <v>8</v>
      </c>
      <c r="K1" s="317">
        <v>9</v>
      </c>
      <c r="L1" s="317">
        <v>10</v>
      </c>
      <c r="M1" s="317">
        <v>11</v>
      </c>
      <c r="N1" s="317">
        <v>12</v>
      </c>
      <c r="O1" s="317">
        <v>13</v>
      </c>
      <c r="P1" s="317">
        <v>14</v>
      </c>
      <c r="Q1" s="317">
        <v>15</v>
      </c>
      <c r="R1" s="317">
        <v>16</v>
      </c>
      <c r="S1" s="317">
        <v>17</v>
      </c>
      <c r="T1" s="317">
        <v>18</v>
      </c>
      <c r="U1" s="317">
        <v>19</v>
      </c>
      <c r="V1" s="317">
        <v>20</v>
      </c>
      <c r="W1" s="317">
        <v>21</v>
      </c>
      <c r="X1" s="317">
        <v>22</v>
      </c>
      <c r="Y1" s="317">
        <v>23</v>
      </c>
      <c r="Z1" s="317">
        <v>24</v>
      </c>
      <c r="AA1" s="317">
        <v>25</v>
      </c>
      <c r="AB1" s="317">
        <v>26</v>
      </c>
      <c r="AC1" s="317">
        <v>27</v>
      </c>
      <c r="AD1" s="317">
        <v>28</v>
      </c>
      <c r="AE1" s="317">
        <v>29</v>
      </c>
      <c r="AF1" s="317">
        <v>30</v>
      </c>
      <c r="AG1" s="317">
        <v>31</v>
      </c>
    </row>
    <row r="2" spans="1:35" ht="25.2" customHeight="1">
      <c r="A2" s="315" t="s">
        <v>127</v>
      </c>
      <c r="B2" s="321">
        <f>+SUM(C2:AG2)</f>
        <v>13119.270000000004</v>
      </c>
      <c r="C2" s="318">
        <f>+'5.26'!G14</f>
        <v>312.28800000000001</v>
      </c>
      <c r="D2" s="318">
        <f>+'5.26'!H14</f>
        <v>403.92899999999997</v>
      </c>
      <c r="E2" s="318">
        <f>+'5.26'!I14</f>
        <v>409.428</v>
      </c>
      <c r="F2" s="318">
        <f>+'5.26'!J14</f>
        <v>452.12599999999998</v>
      </c>
      <c r="G2" s="318">
        <f>+'5.26'!K14</f>
        <v>507.52499999999998</v>
      </c>
      <c r="H2" s="318">
        <f>+'5.26'!L14</f>
        <v>516.42700000000002</v>
      </c>
      <c r="I2" s="318">
        <f>+'5.26'!M14</f>
        <v>491.10500000000002</v>
      </c>
      <c r="J2" s="318">
        <f>+'5.26'!N14</f>
        <v>435.798</v>
      </c>
      <c r="K2" s="318">
        <f>+'5.26'!O14</f>
        <v>489.23200000000003</v>
      </c>
      <c r="L2" s="318">
        <f>+'5.26'!P14</f>
        <v>437.57600000000002</v>
      </c>
      <c r="M2" s="318">
        <f>+'5.26'!Q14</f>
        <v>416.22300000000001</v>
      </c>
      <c r="N2" s="318">
        <f>+'5.26'!R14</f>
        <v>253.82300000000001</v>
      </c>
      <c r="O2" s="318">
        <f>+'5.26'!S14</f>
        <v>0</v>
      </c>
      <c r="P2" s="318">
        <f>+'5.26'!T14</f>
        <v>270.27699999999999</v>
      </c>
      <c r="Q2" s="318">
        <f>+'5.26'!U14</f>
        <v>481.73399999999998</v>
      </c>
      <c r="R2" s="318">
        <f>+'5.26'!V14</f>
        <v>286.13900000000001</v>
      </c>
      <c r="S2" s="318">
        <f>+'5.26'!W14</f>
        <v>473.30900000000003</v>
      </c>
      <c r="T2" s="318">
        <f>+'5.26'!X14</f>
        <v>473.16899999999998</v>
      </c>
      <c r="U2" s="318">
        <f>+'5.26'!Y14</f>
        <v>453.90699999999998</v>
      </c>
      <c r="V2" s="318">
        <f>+'5.26'!Z14</f>
        <v>494.69900000000001</v>
      </c>
      <c r="W2" s="318">
        <f>+'5.26'!AA14</f>
        <v>484.96100000000001</v>
      </c>
      <c r="X2" s="318">
        <f>+'5.26'!AB14</f>
        <v>426.851</v>
      </c>
      <c r="Y2" s="318">
        <f>+'5.26'!AC14</f>
        <v>510.07499999999999</v>
      </c>
      <c r="Z2" s="318">
        <f>+'5.26'!AD14</f>
        <v>525.928</v>
      </c>
      <c r="AA2" s="318">
        <f>+'5.26'!AE14</f>
        <v>517.88300000000004</v>
      </c>
      <c r="AB2" s="318">
        <f>+'5.26'!AF14</f>
        <v>437.34</v>
      </c>
      <c r="AC2" s="318">
        <f>+'5.26'!AG14</f>
        <v>481.05700000000002</v>
      </c>
      <c r="AD2" s="318">
        <f>+'5.26'!AH14</f>
        <v>315.52800000000002</v>
      </c>
      <c r="AE2" s="318">
        <f>+'5.26'!AI14</f>
        <v>447.71800000000002</v>
      </c>
      <c r="AF2" s="318">
        <f>+'5.26'!AJ14</f>
        <v>484.541</v>
      </c>
      <c r="AG2" s="318">
        <f>+'5.26'!AK14</f>
        <v>428.67399999999998</v>
      </c>
    </row>
    <row r="3" spans="1:35" ht="25.2" customHeight="1">
      <c r="A3" s="315" t="s">
        <v>128</v>
      </c>
      <c r="B3" s="321">
        <f>+SUM(C3:AG3)</f>
        <v>272.57500000000005</v>
      </c>
      <c r="C3" s="325">
        <v>12</v>
      </c>
      <c r="D3" s="325"/>
      <c r="E3" s="325">
        <v>7.2</v>
      </c>
      <c r="F3" s="325">
        <v>16</v>
      </c>
      <c r="G3" s="325"/>
      <c r="H3" s="325">
        <v>35</v>
      </c>
      <c r="I3" s="325"/>
      <c r="J3" s="325"/>
      <c r="K3" s="325"/>
      <c r="L3" s="325"/>
      <c r="M3" s="325">
        <v>2.4</v>
      </c>
      <c r="N3" s="325"/>
      <c r="O3" s="325"/>
      <c r="P3" s="325">
        <v>16.5</v>
      </c>
      <c r="Q3" s="325">
        <v>14</v>
      </c>
      <c r="R3" s="325">
        <v>21</v>
      </c>
      <c r="S3" s="325">
        <f>23+2</f>
        <v>25</v>
      </c>
      <c r="T3" s="325"/>
      <c r="U3" s="325"/>
      <c r="V3" s="325">
        <v>2.5</v>
      </c>
      <c r="W3" s="325"/>
      <c r="X3" s="325">
        <v>15</v>
      </c>
      <c r="Y3" s="325"/>
      <c r="Z3" s="325"/>
      <c r="AA3" s="325"/>
      <c r="AB3" s="325"/>
      <c r="AC3" s="325">
        <v>6.6749999999999998</v>
      </c>
      <c r="AD3" s="325"/>
      <c r="AE3" s="325">
        <v>10</v>
      </c>
      <c r="AF3" s="325">
        <f>41.8+20+2.5+3.2+19</f>
        <v>86.5</v>
      </c>
      <c r="AG3" s="325">
        <f>2.8</f>
        <v>2.8</v>
      </c>
      <c r="AH3" s="545"/>
      <c r="AI3" s="543"/>
    </row>
    <row r="4" spans="1:35" ht="25.2" customHeight="1">
      <c r="A4" s="315" t="s">
        <v>129</v>
      </c>
      <c r="B4" s="322">
        <f>+B3/B2</f>
        <v>2.0776689556659782E-2</v>
      </c>
      <c r="C4" s="316">
        <f t="shared" ref="B4:AG4" si="0">+C3/C2</f>
        <v>3.8426068244697201E-2</v>
      </c>
      <c r="D4" s="316">
        <f t="shared" si="0"/>
        <v>0</v>
      </c>
      <c r="E4" s="316">
        <f t="shared" si="0"/>
        <v>1.7585509540138926E-2</v>
      </c>
      <c r="F4" s="316">
        <f t="shared" si="0"/>
        <v>3.5388365190234583E-2</v>
      </c>
      <c r="G4" s="316">
        <f t="shared" si="0"/>
        <v>0</v>
      </c>
      <c r="H4" s="316">
        <f t="shared" si="0"/>
        <v>6.7773373584262636E-2</v>
      </c>
      <c r="I4" s="316">
        <f t="shared" si="0"/>
        <v>0</v>
      </c>
      <c r="J4" s="316">
        <f t="shared" si="0"/>
        <v>0</v>
      </c>
      <c r="K4" s="316">
        <f t="shared" si="0"/>
        <v>0</v>
      </c>
      <c r="L4" s="316">
        <f t="shared" si="0"/>
        <v>0</v>
      </c>
      <c r="M4" s="316">
        <f t="shared" si="0"/>
        <v>5.7661397856437532E-3</v>
      </c>
      <c r="N4" s="316">
        <f t="shared" si="0"/>
        <v>0</v>
      </c>
      <c r="O4" s="316" t="e">
        <f t="shared" si="0"/>
        <v>#DIV/0!</v>
      </c>
      <c r="P4" s="316">
        <f t="shared" si="0"/>
        <v>6.1048479892850671E-2</v>
      </c>
      <c r="Q4" s="316">
        <f t="shared" si="0"/>
        <v>2.9061681342815747E-2</v>
      </c>
      <c r="R4" s="316">
        <f t="shared" si="0"/>
        <v>7.3390904420578801E-2</v>
      </c>
      <c r="S4" s="316">
        <f t="shared" si="0"/>
        <v>5.2819616783116315E-2</v>
      </c>
      <c r="T4" s="316">
        <f t="shared" si="0"/>
        <v>0</v>
      </c>
      <c r="U4" s="316">
        <f t="shared" si="0"/>
        <v>0</v>
      </c>
      <c r="V4" s="316">
        <f t="shared" si="0"/>
        <v>5.053578034319859E-3</v>
      </c>
      <c r="W4" s="316">
        <f t="shared" si="0"/>
        <v>0</v>
      </c>
      <c r="X4" s="316">
        <f t="shared" si="0"/>
        <v>3.5141067960482698E-2</v>
      </c>
      <c r="Y4" s="316">
        <f t="shared" si="0"/>
        <v>0</v>
      </c>
      <c r="Z4" s="316">
        <f t="shared" si="0"/>
        <v>0</v>
      </c>
      <c r="AA4" s="316">
        <f t="shared" si="0"/>
        <v>0</v>
      </c>
      <c r="AB4" s="316">
        <f t="shared" si="0"/>
        <v>0</v>
      </c>
      <c r="AC4" s="316">
        <f t="shared" si="0"/>
        <v>1.3875694564261614E-2</v>
      </c>
      <c r="AD4" s="316">
        <f t="shared" si="0"/>
        <v>0</v>
      </c>
      <c r="AE4" s="316">
        <f t="shared" si="0"/>
        <v>2.2335487963405537E-2</v>
      </c>
      <c r="AF4" s="316">
        <f t="shared" si="0"/>
        <v>0.17851946481309117</v>
      </c>
      <c r="AG4" s="316">
        <f t="shared" si="0"/>
        <v>6.5317700630315809E-3</v>
      </c>
      <c r="AH4" s="544"/>
      <c r="AI4" s="544"/>
    </row>
    <row r="5" spans="1:35" ht="25.2" customHeight="1">
      <c r="A5" s="315" t="s">
        <v>126</v>
      </c>
      <c r="B5" s="321">
        <f>+SUM(C5:AG5)</f>
        <v>3876</v>
      </c>
      <c r="C5" s="326">
        <v>34</v>
      </c>
      <c r="D5" s="326">
        <v>30</v>
      </c>
      <c r="E5" s="326">
        <v>170</v>
      </c>
      <c r="F5" s="326">
        <v>70</v>
      </c>
      <c r="G5" s="326"/>
      <c r="H5" s="326"/>
      <c r="I5" s="326">
        <v>10</v>
      </c>
      <c r="J5" s="326">
        <v>95</v>
      </c>
      <c r="K5" s="326">
        <v>10</v>
      </c>
      <c r="L5" s="326">
        <f>15+15+8</f>
        <v>38</v>
      </c>
      <c r="M5" s="326">
        <v>200</v>
      </c>
      <c r="N5" s="326">
        <f>25+35+60</f>
        <v>120</v>
      </c>
      <c r="O5" s="326">
        <v>1440</v>
      </c>
      <c r="P5" s="326">
        <v>300</v>
      </c>
      <c r="Q5" s="326">
        <v>80</v>
      </c>
      <c r="R5" s="326">
        <f>190+45</f>
        <v>235</v>
      </c>
      <c r="S5" s="326">
        <f>33+33</f>
        <v>66</v>
      </c>
      <c r="T5" s="326">
        <f>40+15+14+13+10</f>
        <v>92</v>
      </c>
      <c r="U5" s="326">
        <v>58</v>
      </c>
      <c r="V5" s="326">
        <v>33</v>
      </c>
      <c r="W5" s="326">
        <v>10</v>
      </c>
      <c r="X5" s="326">
        <v>175</v>
      </c>
      <c r="Y5" s="326"/>
      <c r="Z5" s="326"/>
      <c r="AA5" s="326"/>
      <c r="AB5" s="326">
        <v>138</v>
      </c>
      <c r="AC5" s="326">
        <f>60+51</f>
        <v>111</v>
      </c>
      <c r="AD5" s="326">
        <v>30</v>
      </c>
      <c r="AE5" s="326">
        <v>46</v>
      </c>
      <c r="AF5" s="326">
        <v>75</v>
      </c>
      <c r="AG5" s="326">
        <v>210</v>
      </c>
      <c r="AH5" s="316"/>
      <c r="AI5" s="541"/>
    </row>
    <row r="6" spans="1:35" ht="8.4" customHeight="1">
      <c r="A6" s="315"/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</row>
    <row r="7" spans="1:35" ht="25.2" customHeight="1">
      <c r="A7" s="315" t="s">
        <v>130</v>
      </c>
      <c r="B7" s="316">
        <f>+'5.26'!F14/'5.26'!F10</f>
        <v>0.93709071428571455</v>
      </c>
      <c r="C7" s="316">
        <f>+'5.26'!G14/'5.26'!G10</f>
        <v>0.89225142857142858</v>
      </c>
      <c r="D7" s="316">
        <f>+'5.26'!H14/'5.26'!H10</f>
        <v>0.96173571428571425</v>
      </c>
      <c r="E7" s="316">
        <f>+'5.26'!I14/'5.26'!I10</f>
        <v>0.85297500000000004</v>
      </c>
      <c r="F7" s="316">
        <f>+'5.26'!J14/'5.26'!J10</f>
        <v>0.92270612244897954</v>
      </c>
      <c r="G7" s="316">
        <f>+'5.26'!K14/'5.26'!K10</f>
        <v>1.01505</v>
      </c>
      <c r="H7" s="316">
        <f>+'5.26'!L14/'5.26'!L10</f>
        <v>0.99312884615384622</v>
      </c>
      <c r="I7" s="316">
        <f>+'5.26'!M14/'5.26'!M10</f>
        <v>1.0022551020408164</v>
      </c>
      <c r="J7" s="316">
        <f>+'5.26'!N14/'5.26'!N10</f>
        <v>0.96843999999999997</v>
      </c>
      <c r="K7" s="316">
        <f>+'5.26'!O14/'5.26'!O10</f>
        <v>0.95927843137254909</v>
      </c>
      <c r="L7" s="316">
        <f>+'5.26'!P14/'5.26'!P10</f>
        <v>0.97239111111111121</v>
      </c>
      <c r="M7" s="316">
        <f>+'5.26'!Q14/'5.26'!Q10</f>
        <v>0.86713125000000002</v>
      </c>
      <c r="N7" s="316">
        <f>+'5.26'!R14/'5.26'!R10</f>
        <v>0.8460766666666667</v>
      </c>
      <c r="O7" s="316" t="e">
        <f>+'5.26'!S14/'5.26'!S10</f>
        <v>#DIV/0!</v>
      </c>
      <c r="P7" s="316">
        <f>+'5.26'!T14/'5.26'!T10</f>
        <v>0.69301794871794864</v>
      </c>
      <c r="Q7" s="316">
        <f>+'5.26'!U14/'5.26'!U10</f>
        <v>0.96346799999999999</v>
      </c>
      <c r="R7" s="316">
        <f>+'5.26'!V14/'5.26'!V10</f>
        <v>0.95379666666666674</v>
      </c>
      <c r="S7" s="316">
        <f>+'5.26'!W14/'5.26'!W10</f>
        <v>0.92805686274509813</v>
      </c>
      <c r="T7" s="316">
        <f>+'5.26'!X14/'5.26'!X10</f>
        <v>0.94633800000000001</v>
      </c>
      <c r="U7" s="316">
        <f>+'5.26'!Y14/'5.26'!Y10</f>
        <v>0.98675434782608695</v>
      </c>
      <c r="V7" s="316">
        <f>+'5.26'!Z14/'5.26'!Z10</f>
        <v>0.989398</v>
      </c>
      <c r="W7" s="316">
        <f>+'5.26'!AA14/'5.26'!AA10</f>
        <v>0.95090392156862746</v>
      </c>
      <c r="X7" s="316">
        <f>+'5.26'!AB14/'5.26'!AB10</f>
        <v>0.85370199999999996</v>
      </c>
      <c r="Y7" s="316">
        <f>+'5.26'!AC14/'5.26'!AC10</f>
        <v>0.96240566037735842</v>
      </c>
      <c r="Z7" s="316">
        <f>+'5.26'!AD14/'5.26'!AD10</f>
        <v>0.97394074074074077</v>
      </c>
      <c r="AA7" s="316">
        <f>+'5.26'!AE14/'5.26'!AE10</f>
        <v>0.97713773584905672</v>
      </c>
      <c r="AB7" s="316">
        <f>+'5.26'!AF14/'5.26'!AF10</f>
        <v>0.91112499999999996</v>
      </c>
      <c r="AC7" s="316">
        <f>+'5.26'!AG14/'5.26'!AG10</f>
        <v>0.96211400000000002</v>
      </c>
      <c r="AD7" s="316">
        <f>+'5.26'!AH14/'5.26'!AH10</f>
        <v>0.95614545454545463</v>
      </c>
      <c r="AE7" s="316">
        <f>+'5.26'!AI14/'5.26'!AI10</f>
        <v>0.93274583333333339</v>
      </c>
      <c r="AF7" s="316">
        <f>+'5.26'!AJ14/'5.26'!AJ10</f>
        <v>0.969082</v>
      </c>
      <c r="AG7" s="316">
        <f>+'5.26'!AK14/'5.26'!AK10</f>
        <v>0.857348</v>
      </c>
    </row>
    <row r="8" spans="1:35" ht="25.2" customHeight="1">
      <c r="A8" s="315" t="s">
        <v>131</v>
      </c>
      <c r="B8" s="316">
        <f>1-((B3/B2)*100%)/98%</f>
        <v>0.97879929637075536</v>
      </c>
      <c r="C8" s="316">
        <f t="shared" ref="C8:T8" si="1">1-((C3/C2)*100%)/98%</f>
        <v>0.96078972628092119</v>
      </c>
      <c r="D8" s="316">
        <f t="shared" si="1"/>
        <v>1</v>
      </c>
      <c r="E8" s="316">
        <f t="shared" si="1"/>
        <v>0.9820556025100623</v>
      </c>
      <c r="F8" s="316">
        <f t="shared" si="1"/>
        <v>0.96388942327527083</v>
      </c>
      <c r="G8" s="316">
        <f t="shared" si="1"/>
        <v>1</v>
      </c>
      <c r="H8" s="316">
        <f t="shared" si="1"/>
        <v>0.93084349634258912</v>
      </c>
      <c r="I8" s="316">
        <f t="shared" si="1"/>
        <v>1</v>
      </c>
      <c r="J8" s="316">
        <f t="shared" si="1"/>
        <v>1</v>
      </c>
      <c r="K8" s="316">
        <f t="shared" si="1"/>
        <v>1</v>
      </c>
      <c r="L8" s="316">
        <f t="shared" si="1"/>
        <v>1</v>
      </c>
      <c r="M8" s="316">
        <f t="shared" si="1"/>
        <v>0.99411618389220024</v>
      </c>
      <c r="N8" s="316">
        <f t="shared" si="1"/>
        <v>1</v>
      </c>
      <c r="O8" s="316" t="e">
        <f t="shared" si="1"/>
        <v>#DIV/0!</v>
      </c>
      <c r="P8" s="316">
        <f t="shared" si="1"/>
        <v>0.93770563276239727</v>
      </c>
      <c r="Q8" s="316">
        <f t="shared" si="1"/>
        <v>0.97034522311957572</v>
      </c>
      <c r="R8" s="316">
        <f t="shared" si="1"/>
        <v>0.92511132201981749</v>
      </c>
      <c r="S8" s="316">
        <f t="shared" si="1"/>
        <v>0.94610243185396292</v>
      </c>
      <c r="T8" s="316">
        <f t="shared" si="1"/>
        <v>1</v>
      </c>
      <c r="U8" s="316">
        <f>1-((U3/U2)*100%)/98%</f>
        <v>1</v>
      </c>
      <c r="V8" s="316">
        <f t="shared" ref="V8:AG8" si="2">1-((V3/V2)*100%)/98%</f>
        <v>0.99484328772008179</v>
      </c>
      <c r="W8" s="316">
        <f t="shared" si="2"/>
        <v>1</v>
      </c>
      <c r="X8" s="316">
        <f t="shared" si="2"/>
        <v>0.96414176738726254</v>
      </c>
      <c r="Y8" s="316">
        <f t="shared" si="2"/>
        <v>1</v>
      </c>
      <c r="Z8" s="316">
        <f t="shared" si="2"/>
        <v>1</v>
      </c>
      <c r="AA8" s="316">
        <f t="shared" si="2"/>
        <v>1</v>
      </c>
      <c r="AB8" s="316">
        <f t="shared" si="2"/>
        <v>1</v>
      </c>
      <c r="AC8" s="316">
        <f t="shared" si="2"/>
        <v>0.98584112799565138</v>
      </c>
      <c r="AD8" s="316">
        <f t="shared" si="2"/>
        <v>1</v>
      </c>
      <c r="AE8" s="316">
        <f t="shared" si="2"/>
        <v>0.977208685751627</v>
      </c>
      <c r="AF8" s="316">
        <f t="shared" si="2"/>
        <v>0.81783728080296814</v>
      </c>
      <c r="AG8" s="316">
        <f t="shared" si="2"/>
        <v>0.99333492850711058</v>
      </c>
    </row>
    <row r="9" spans="1:35" ht="25.2" customHeight="1">
      <c r="A9" s="315" t="s">
        <v>132</v>
      </c>
      <c r="B9" s="316">
        <f>1-B5/A11*100%</f>
        <v>0.91317204301075272</v>
      </c>
      <c r="C9" s="316">
        <f>1-C5/1440*100%</f>
        <v>0.97638888888888886</v>
      </c>
      <c r="D9" s="316">
        <f t="shared" ref="D9:AG9" si="3">1-D5/1440*100%</f>
        <v>0.97916666666666663</v>
      </c>
      <c r="E9" s="316">
        <f t="shared" si="3"/>
        <v>0.88194444444444442</v>
      </c>
      <c r="F9" s="316">
        <f t="shared" si="3"/>
        <v>0.95138888888888884</v>
      </c>
      <c r="G9" s="316">
        <f t="shared" si="3"/>
        <v>1</v>
      </c>
      <c r="H9" s="316">
        <f t="shared" si="3"/>
        <v>1</v>
      </c>
      <c r="I9" s="316">
        <f t="shared" si="3"/>
        <v>0.99305555555555558</v>
      </c>
      <c r="J9" s="316">
        <f t="shared" si="3"/>
        <v>0.93402777777777779</v>
      </c>
      <c r="K9" s="316">
        <f t="shared" si="3"/>
        <v>0.99305555555555558</v>
      </c>
      <c r="L9" s="316">
        <f t="shared" si="3"/>
        <v>0.97361111111111109</v>
      </c>
      <c r="M9" s="316">
        <f t="shared" si="3"/>
        <v>0.86111111111111116</v>
      </c>
      <c r="N9" s="316">
        <f>1-N5/1440*100%</f>
        <v>0.91666666666666663</v>
      </c>
      <c r="O9" s="316">
        <f t="shared" si="3"/>
        <v>0</v>
      </c>
      <c r="P9" s="316">
        <f t="shared" si="3"/>
        <v>0.79166666666666663</v>
      </c>
      <c r="Q9" s="316">
        <f t="shared" si="3"/>
        <v>0.94444444444444442</v>
      </c>
      <c r="R9" s="316">
        <f t="shared" si="3"/>
        <v>0.83680555555555558</v>
      </c>
      <c r="S9" s="316">
        <f t="shared" si="3"/>
        <v>0.95416666666666672</v>
      </c>
      <c r="T9" s="316">
        <f t="shared" si="3"/>
        <v>0.93611111111111112</v>
      </c>
      <c r="U9" s="316">
        <f t="shared" si="3"/>
        <v>0.95972222222222225</v>
      </c>
      <c r="V9" s="316">
        <f t="shared" si="3"/>
        <v>0.9770833333333333</v>
      </c>
      <c r="W9" s="316">
        <f t="shared" si="3"/>
        <v>0.99305555555555558</v>
      </c>
      <c r="X9" s="316">
        <f t="shared" si="3"/>
        <v>0.87847222222222221</v>
      </c>
      <c r="Y9" s="316">
        <f t="shared" si="3"/>
        <v>1</v>
      </c>
      <c r="Z9" s="316">
        <f t="shared" si="3"/>
        <v>1</v>
      </c>
      <c r="AA9" s="316">
        <f t="shared" si="3"/>
        <v>1</v>
      </c>
      <c r="AB9" s="316">
        <f t="shared" si="3"/>
        <v>0.90416666666666667</v>
      </c>
      <c r="AC9" s="316">
        <f t="shared" si="3"/>
        <v>0.92291666666666661</v>
      </c>
      <c r="AD9" s="316">
        <f t="shared" si="3"/>
        <v>0.97916666666666663</v>
      </c>
      <c r="AE9" s="316">
        <f t="shared" si="3"/>
        <v>0.96805555555555556</v>
      </c>
      <c r="AF9" s="316">
        <f t="shared" si="3"/>
        <v>0.94791666666666663</v>
      </c>
      <c r="AG9" s="316">
        <f t="shared" si="3"/>
        <v>0.85416666666666663</v>
      </c>
    </row>
    <row r="10" spans="1:35" ht="25.2" customHeight="1">
      <c r="A10" s="319" t="s">
        <v>133</v>
      </c>
      <c r="B10" s="320">
        <f>+B7*B8*B9</f>
        <v>0.83758306904605195</v>
      </c>
      <c r="C10" s="320">
        <f>+C7*C8*C9</f>
        <v>0.83702500291545179</v>
      </c>
      <c r="D10" s="320">
        <f t="shared" ref="D10:AG10" si="4">+D7*D8*D9</f>
        <v>0.94169955357142854</v>
      </c>
      <c r="E10" s="320">
        <f t="shared" si="4"/>
        <v>0.73877741284013598</v>
      </c>
      <c r="F10" s="320">
        <f>+F7*F8*F9</f>
        <v>0.84615259787588493</v>
      </c>
      <c r="G10" s="320">
        <f t="shared" si="4"/>
        <v>1.01505</v>
      </c>
      <c r="H10" s="320">
        <f t="shared" si="4"/>
        <v>0.92444752747252745</v>
      </c>
      <c r="I10" s="320">
        <f t="shared" si="4"/>
        <v>0.99529499716553294</v>
      </c>
      <c r="J10" s="320">
        <f t="shared" si="4"/>
        <v>0.90454986111111113</v>
      </c>
      <c r="K10" s="320">
        <f t="shared" si="4"/>
        <v>0.95261677559912861</v>
      </c>
      <c r="L10" s="320">
        <f>+L7*L8*L9</f>
        <v>0.94673079012345684</v>
      </c>
      <c r="M10" s="320">
        <f t="shared" si="4"/>
        <v>0.74230293013038551</v>
      </c>
      <c r="N10" s="320">
        <f t="shared" si="4"/>
        <v>0.77557027777777776</v>
      </c>
      <c r="O10" s="320" t="e">
        <f t="shared" si="4"/>
        <v>#DIV/0!</v>
      </c>
      <c r="P10" s="320">
        <f t="shared" si="4"/>
        <v>0.51446207701029123</v>
      </c>
      <c r="Q10" s="320">
        <f t="shared" si="4"/>
        <v>0.88295787301587303</v>
      </c>
      <c r="R10" s="320">
        <f t="shared" si="4"/>
        <v>0.73837052414021165</v>
      </c>
      <c r="S10" s="320">
        <f t="shared" si="4"/>
        <v>0.83779349889956001</v>
      </c>
      <c r="T10" s="320">
        <f t="shared" si="4"/>
        <v>0.8858775166666667</v>
      </c>
      <c r="U10" s="320">
        <f t="shared" si="4"/>
        <v>0.9470100754830918</v>
      </c>
      <c r="V10" s="320">
        <f t="shared" si="4"/>
        <v>0.9617391767857143</v>
      </c>
      <c r="W10" s="320">
        <f t="shared" si="4"/>
        <v>0.94430042211328979</v>
      </c>
      <c r="X10" s="320">
        <f t="shared" si="4"/>
        <v>0.7230614862528344</v>
      </c>
      <c r="Y10" s="320">
        <f t="shared" si="4"/>
        <v>0.96240566037735842</v>
      </c>
      <c r="Z10" s="320">
        <f t="shared" si="4"/>
        <v>0.97394074074074077</v>
      </c>
      <c r="AA10" s="320">
        <f t="shared" si="4"/>
        <v>0.97713773584905672</v>
      </c>
      <c r="AB10" s="320">
        <f t="shared" si="4"/>
        <v>0.8238088541666666</v>
      </c>
      <c r="AC10" s="320">
        <f t="shared" si="4"/>
        <v>0.87537866062925163</v>
      </c>
      <c r="AD10" s="320">
        <f t="shared" si="4"/>
        <v>0.93622575757575766</v>
      </c>
      <c r="AE10" s="320">
        <f t="shared" si="4"/>
        <v>0.88237037355914594</v>
      </c>
      <c r="AF10" s="320">
        <f t="shared" si="4"/>
        <v>0.75127266964285699</v>
      </c>
      <c r="AG10" s="320">
        <f t="shared" si="4"/>
        <v>0.72743713095238083</v>
      </c>
    </row>
    <row r="11" spans="1:35">
      <c r="A11" s="314">
        <f>31*1440</f>
        <v>44640</v>
      </c>
    </row>
    <row r="12" spans="1:35">
      <c r="M12" s="327"/>
      <c r="S12" s="314" t="s">
        <v>139</v>
      </c>
      <c r="V12" s="314" t="s">
        <v>142</v>
      </c>
      <c r="X12" s="314" t="s">
        <v>143</v>
      </c>
      <c r="AC12" s="314" t="s">
        <v>144</v>
      </c>
      <c r="AG12" s="400" t="s">
        <v>149</v>
      </c>
    </row>
    <row r="13" spans="1:35">
      <c r="G13" s="388"/>
      <c r="M13" s="327"/>
      <c r="S13" s="314" t="s">
        <v>140</v>
      </c>
      <c r="AC13" s="314" t="s">
        <v>145</v>
      </c>
      <c r="AG13" s="400" t="s">
        <v>152</v>
      </c>
    </row>
    <row r="14" spans="1:35">
      <c r="B14" s="388"/>
      <c r="I14" s="323"/>
      <c r="J14" s="323"/>
      <c r="M14" s="389"/>
      <c r="S14" s="314" t="s">
        <v>141</v>
      </c>
      <c r="AG14" s="400" t="s">
        <v>150</v>
      </c>
    </row>
    <row r="15" spans="1:35">
      <c r="N15" s="391"/>
      <c r="P15" s="314">
        <v>514</v>
      </c>
      <c r="Q15" s="397">
        <v>516</v>
      </c>
      <c r="AG15" s="400" t="s">
        <v>151</v>
      </c>
    </row>
    <row r="16" spans="1:35">
      <c r="K16" s="324"/>
      <c r="O16" s="395"/>
      <c r="S16" s="314">
        <v>526</v>
      </c>
      <c r="T16" s="314">
        <v>530</v>
      </c>
      <c r="U16" s="314">
        <v>536</v>
      </c>
      <c r="V16" s="314">
        <v>540</v>
      </c>
      <c r="AG16" s="400" t="s">
        <v>153</v>
      </c>
    </row>
    <row r="17" spans="11:33">
      <c r="K17" s="390"/>
      <c r="AG17" s="400" t="s">
        <v>154</v>
      </c>
    </row>
    <row r="19" spans="11:33">
      <c r="AG19" s="31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5.26</vt:lpstr>
      <vt:lpstr>Data NĂM</vt:lpstr>
      <vt:lpstr>BIỂU ĐỒ</vt:lpstr>
      <vt:lpstr>Sản lượng</vt:lpstr>
      <vt:lpstr>OEE</vt:lpstr>
      <vt:lpstr>'5.26'!Print_Area</vt:lpstr>
      <vt:lpstr>'BIỂU ĐỒ'!Print_Area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Phung Thi Loan Loan</cp:lastModifiedBy>
  <cp:lastPrinted>2025-12-31T01:55:05Z</cp:lastPrinted>
  <dcterms:created xsi:type="dcterms:W3CDTF">2015-06-05T18:17:20Z</dcterms:created>
  <dcterms:modified xsi:type="dcterms:W3CDTF">2026-06-01T08:46:09Z</dcterms:modified>
</cp:coreProperties>
</file>